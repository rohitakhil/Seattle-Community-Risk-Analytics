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11.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12.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13.xml" ContentType="application/vnd.openxmlformats-officedocument.drawing+xml"/>
  <Override PartName="/xl/tables/table8.xml" ContentType="application/vnd.openxmlformats-officedocument.spreadsheetml.tab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14.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5.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B:\"/>
    </mc:Choice>
  </mc:AlternateContent>
  <xr:revisionPtr revIDLastSave="0" documentId="13_ncr:1_{70E6844F-A8D9-413E-8BE1-AB5D8B321FB0}" xr6:coauthVersionLast="47" xr6:coauthVersionMax="47" xr10:uidLastSave="{00000000-0000-0000-0000-000000000000}"/>
  <bookViews>
    <workbookView xWindow="-110" yWindow="-110" windowWidth="25820" windowHeight="15500" firstSheet="15" activeTab="20" xr2:uid="{00000000-000D-0000-FFFF-FFFF00000000}"/>
  </bookViews>
  <sheets>
    <sheet name="Source" sheetId="2" r:id="rId1"/>
    <sheet name="Data Dictionary" sheetId="4" r:id="rId2"/>
    <sheet name="Cleaned_data" sheetId="7" r:id="rId3"/>
    <sheet name="Cleaned_Data_new" sheetId="1" r:id="rId4"/>
    <sheet name="Pivot 1" sheetId="20" r:id="rId5"/>
    <sheet name="Pivot 2" sheetId="21" r:id="rId6"/>
    <sheet name="Pivot 3" sheetId="22" r:id="rId7"/>
    <sheet name="1.Bar Chart" sheetId="9" r:id="rId8"/>
    <sheet name="2.Tree Map" sheetId="8" r:id="rId9"/>
    <sheet name="3.Column Chart(Stacked)" sheetId="10" r:id="rId10"/>
    <sheet name="4.Box and Whiskers-1 " sheetId="12" r:id="rId11"/>
    <sheet name="5.Box and Whiskers-2" sheetId="13" r:id="rId12"/>
    <sheet name="6.Bubble chart" sheetId="14" r:id="rId13"/>
    <sheet name="7.Line Chart" sheetId="17" r:id="rId14"/>
    <sheet name="8.Clusterd Bar Chart" sheetId="16" r:id="rId15"/>
    <sheet name="9.Clusterd Column Chart" sheetId="18" r:id="rId16"/>
    <sheet name="10.Histogram" sheetId="29" r:id="rId17"/>
    <sheet name="Correlation &amp; Scatter Plot" sheetId="34" r:id="rId18"/>
    <sheet name="Testing-1" sheetId="37" r:id="rId19"/>
    <sheet name="Testing - 2" sheetId="43" r:id="rId20"/>
    <sheet name="Testing - 3" sheetId="44" r:id="rId21"/>
    <sheet name="Regression" sheetId="41" r:id="rId22"/>
  </sheets>
  <definedNames>
    <definedName name="_xlnm._FilterDatabase" localSheetId="9" hidden="1">'3.Column Chart(Stacked)'!$B$81:$D$101</definedName>
    <definedName name="_xlnm._FilterDatabase" localSheetId="10" hidden="1">'4.Box and Whiskers-1 '!$B$1:$C$93</definedName>
    <definedName name="_xlnm._FilterDatabase" localSheetId="11" hidden="1">'5.Box and Whiskers-2'!$B$1:$C$93</definedName>
    <definedName name="_xlnm._FilterDatabase" localSheetId="12" hidden="1">'6.Bubble chart'!$B$27:$C$46</definedName>
    <definedName name="_xlnm._FilterDatabase" localSheetId="14" hidden="1">'8.Clusterd Bar Chart'!$A$29:$C$48</definedName>
    <definedName name="_xlnm._FilterDatabase" localSheetId="15" hidden="1">'9.Clusterd Column Chart'!$B$32:$D$51</definedName>
    <definedName name="_xlnm._FilterDatabase" localSheetId="17" hidden="1">'Correlation &amp; Scatter Plot'!$D$1:$E$93</definedName>
    <definedName name="_xlchart.v1.0" hidden="1">'2.Tree Map'!$C$4:$C$21</definedName>
    <definedName name="_xlchart.v1.1" hidden="1">'2.Tree Map'!$D$3</definedName>
    <definedName name="_xlchart.v1.2" hidden="1">'2.Tree Map'!$D$4:$D$21</definedName>
    <definedName name="_xlchart.v1.3" hidden="1">'4.Box and Whiskers-1 '!$B$2:$B$93</definedName>
    <definedName name="_xlchart.v1.4" hidden="1">'4.Box and Whiskers-1 '!$C$1</definedName>
    <definedName name="_xlchart.v1.5" hidden="1">'4.Box and Whiskers-1 '!$C$2:$C$93</definedName>
    <definedName name="_xlchart.v1.6" hidden="1">'5.Box and Whiskers-2'!$B$2:$B$93</definedName>
    <definedName name="_xlchart.v1.7" hidden="1">'5.Box and Whiskers-2'!$C$1</definedName>
    <definedName name="_xlchart.v1.8" hidden="1">'5.Box and Whiskers-2'!$C$2:$C$93</definedName>
  </definedNames>
  <calcPr calcId="191028"/>
  <pivotCaches>
    <pivotCache cacheId="6" r:id="rId23"/>
    <pivotCache cacheId="7"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34" l="1"/>
  <c r="AU93" i="7"/>
  <c r="AT93" i="7"/>
  <c r="AS93" i="7"/>
  <c r="AR93" i="7"/>
  <c r="AQ93" i="7"/>
  <c r="AP93" i="7"/>
  <c r="AO93" i="7"/>
  <c r="AN93" i="7"/>
  <c r="AM93" i="7"/>
  <c r="AL93" i="7"/>
  <c r="AK93" i="7"/>
  <c r="AJ93" i="7"/>
  <c r="AI93" i="7"/>
  <c r="AH93" i="7"/>
  <c r="AG93" i="7"/>
  <c r="AU92" i="7"/>
  <c r="AT92" i="7"/>
  <c r="AS92" i="7"/>
  <c r="AR92" i="7"/>
  <c r="AQ92" i="7"/>
  <c r="AP92" i="7"/>
  <c r="AO92" i="7"/>
  <c r="AN92" i="7"/>
  <c r="AM92" i="7"/>
  <c r="AL92" i="7"/>
  <c r="AK92" i="7"/>
  <c r="AJ92" i="7"/>
  <c r="AI92" i="7"/>
  <c r="AH92" i="7"/>
  <c r="AG92" i="7"/>
  <c r="AU91" i="7"/>
  <c r="AT91" i="7"/>
  <c r="AS91" i="7"/>
  <c r="AR91" i="7"/>
  <c r="AQ91" i="7"/>
  <c r="AP91" i="7"/>
  <c r="AO91" i="7"/>
  <c r="AN91" i="7"/>
  <c r="AM91" i="7"/>
  <c r="AL91" i="7"/>
  <c r="AK91" i="7"/>
  <c r="AJ91" i="7"/>
  <c r="AI91" i="7"/>
  <c r="AH91" i="7"/>
  <c r="AG91" i="7"/>
  <c r="AU90" i="7"/>
  <c r="AT90" i="7"/>
  <c r="AS90" i="7"/>
  <c r="AR90" i="7"/>
  <c r="AQ90" i="7"/>
  <c r="AP90" i="7"/>
  <c r="AO90" i="7"/>
  <c r="AN90" i="7"/>
  <c r="AM90" i="7"/>
  <c r="AL90" i="7"/>
  <c r="AK90" i="7"/>
  <c r="AJ90" i="7"/>
  <c r="AI90" i="7"/>
  <c r="AH90" i="7"/>
  <c r="AG90" i="7"/>
  <c r="AU89" i="7"/>
  <c r="AT89" i="7"/>
  <c r="AS89" i="7"/>
  <c r="AR89" i="7"/>
  <c r="AQ89" i="7"/>
  <c r="AP89" i="7"/>
  <c r="AO89" i="7"/>
  <c r="AN89" i="7"/>
  <c r="AM89" i="7"/>
  <c r="AL89" i="7"/>
  <c r="AK89" i="7"/>
  <c r="AJ89" i="7"/>
  <c r="AI89" i="7"/>
  <c r="AH89" i="7"/>
  <c r="AG89" i="7"/>
  <c r="AU88" i="7"/>
  <c r="AT88" i="7"/>
  <c r="AS88" i="7"/>
  <c r="AR88" i="7"/>
  <c r="AQ88" i="7"/>
  <c r="AP88" i="7"/>
  <c r="AO88" i="7"/>
  <c r="AN88" i="7"/>
  <c r="AM88" i="7"/>
  <c r="AL88" i="7"/>
  <c r="AK88" i="7"/>
  <c r="AJ88" i="7"/>
  <c r="AI88" i="7"/>
  <c r="AH88" i="7"/>
  <c r="AG88" i="7"/>
  <c r="AU87" i="7"/>
  <c r="AT87" i="7"/>
  <c r="AS87" i="7"/>
  <c r="AR87" i="7"/>
  <c r="AQ87" i="7"/>
  <c r="AP87" i="7"/>
  <c r="AO87" i="7"/>
  <c r="AN87" i="7"/>
  <c r="AM87" i="7"/>
  <c r="AL87" i="7"/>
  <c r="AK87" i="7"/>
  <c r="AJ87" i="7"/>
  <c r="AI87" i="7"/>
  <c r="AH87" i="7"/>
  <c r="AG87" i="7"/>
  <c r="AU86" i="7"/>
  <c r="AT86" i="7"/>
  <c r="AS86" i="7"/>
  <c r="AR86" i="7"/>
  <c r="AQ86" i="7"/>
  <c r="AP86" i="7"/>
  <c r="AO86" i="7"/>
  <c r="AN86" i="7"/>
  <c r="AM86" i="7"/>
  <c r="AL86" i="7"/>
  <c r="AK86" i="7"/>
  <c r="AJ86" i="7"/>
  <c r="AI86" i="7"/>
  <c r="AH86" i="7"/>
  <c r="AG86" i="7"/>
  <c r="AU85" i="7"/>
  <c r="AT85" i="7"/>
  <c r="AS85" i="7"/>
  <c r="AR85" i="7"/>
  <c r="AQ85" i="7"/>
  <c r="AP85" i="7"/>
  <c r="AO85" i="7"/>
  <c r="AN85" i="7"/>
  <c r="AM85" i="7"/>
  <c r="AL85" i="7"/>
  <c r="AK85" i="7"/>
  <c r="AJ85" i="7"/>
  <c r="AI85" i="7"/>
  <c r="AH85" i="7"/>
  <c r="AG85" i="7"/>
  <c r="AU84" i="7"/>
  <c r="AT84" i="7"/>
  <c r="AS84" i="7"/>
  <c r="AR84" i="7"/>
  <c r="AQ84" i="7"/>
  <c r="AP84" i="7"/>
  <c r="AO84" i="7"/>
  <c r="AN84" i="7"/>
  <c r="AM84" i="7"/>
  <c r="AL84" i="7"/>
  <c r="AK84" i="7"/>
  <c r="AJ84" i="7"/>
  <c r="AI84" i="7"/>
  <c r="AH84" i="7"/>
  <c r="AG84" i="7"/>
  <c r="AU83" i="7"/>
  <c r="AT83" i="7"/>
  <c r="AS83" i="7"/>
  <c r="AR83" i="7"/>
  <c r="AQ83" i="7"/>
  <c r="AP83" i="7"/>
  <c r="AO83" i="7"/>
  <c r="AN83" i="7"/>
  <c r="AM83" i="7"/>
  <c r="AL83" i="7"/>
  <c r="AK83" i="7"/>
  <c r="AJ83" i="7"/>
  <c r="AI83" i="7"/>
  <c r="AH83" i="7"/>
  <c r="AG83" i="7"/>
  <c r="AU82" i="7"/>
  <c r="AT82" i="7"/>
  <c r="AS82" i="7"/>
  <c r="AR82" i="7"/>
  <c r="AQ82" i="7"/>
  <c r="AP82" i="7"/>
  <c r="AO82" i="7"/>
  <c r="AN82" i="7"/>
  <c r="AM82" i="7"/>
  <c r="AL82" i="7"/>
  <c r="AK82" i="7"/>
  <c r="AJ82" i="7"/>
  <c r="AI82" i="7"/>
  <c r="AH82" i="7"/>
  <c r="AG82" i="7"/>
  <c r="AU81" i="7"/>
  <c r="AT81" i="7"/>
  <c r="AS81" i="7"/>
  <c r="AR81" i="7"/>
  <c r="AQ81" i="7"/>
  <c r="AP81" i="7"/>
  <c r="AO81" i="7"/>
  <c r="AN81" i="7"/>
  <c r="AM81" i="7"/>
  <c r="AL81" i="7"/>
  <c r="AK81" i="7"/>
  <c r="AJ81" i="7"/>
  <c r="AI81" i="7"/>
  <c r="AH81" i="7"/>
  <c r="AG81" i="7"/>
  <c r="AU80" i="7"/>
  <c r="AT80" i="7"/>
  <c r="AS80" i="7"/>
  <c r="AR80" i="7"/>
  <c r="AQ80" i="7"/>
  <c r="AP80" i="7"/>
  <c r="AO80" i="7"/>
  <c r="AN80" i="7"/>
  <c r="AM80" i="7"/>
  <c r="AL80" i="7"/>
  <c r="AK80" i="7"/>
  <c r="AJ80" i="7"/>
  <c r="AI80" i="7"/>
  <c r="AH80" i="7"/>
  <c r="AG80" i="7"/>
  <c r="AU79" i="7"/>
  <c r="AT79" i="7"/>
  <c r="AS79" i="7"/>
  <c r="AR79" i="7"/>
  <c r="AQ79" i="7"/>
  <c r="AP79" i="7"/>
  <c r="AO79" i="7"/>
  <c r="AN79" i="7"/>
  <c r="AM79" i="7"/>
  <c r="AL79" i="7"/>
  <c r="AK79" i="7"/>
  <c r="AJ79" i="7"/>
  <c r="AI79" i="7"/>
  <c r="AH79" i="7"/>
  <c r="AG79" i="7"/>
  <c r="AU78" i="7"/>
  <c r="AT78" i="7"/>
  <c r="AS78" i="7"/>
  <c r="AR78" i="7"/>
  <c r="AQ78" i="7"/>
  <c r="AP78" i="7"/>
  <c r="AO78" i="7"/>
  <c r="AN78" i="7"/>
  <c r="AM78" i="7"/>
  <c r="AL78" i="7"/>
  <c r="AK78" i="7"/>
  <c r="AJ78" i="7"/>
  <c r="AI78" i="7"/>
  <c r="AH78" i="7"/>
  <c r="AG78" i="7"/>
  <c r="AU77" i="7"/>
  <c r="AT77" i="7"/>
  <c r="AS77" i="7"/>
  <c r="AR77" i="7"/>
  <c r="AQ77" i="7"/>
  <c r="AP77" i="7"/>
  <c r="AO77" i="7"/>
  <c r="AN77" i="7"/>
  <c r="AM77" i="7"/>
  <c r="AL77" i="7"/>
  <c r="AK77" i="7"/>
  <c r="AJ77" i="7"/>
  <c r="AI77" i="7"/>
  <c r="AH77" i="7"/>
  <c r="AG77" i="7"/>
  <c r="AU76" i="7"/>
  <c r="AT76" i="7"/>
  <c r="AS76" i="7"/>
  <c r="AR76" i="7"/>
  <c r="AQ76" i="7"/>
  <c r="AP76" i="7"/>
  <c r="AO76" i="7"/>
  <c r="AN76" i="7"/>
  <c r="AM76" i="7"/>
  <c r="AL76" i="7"/>
  <c r="AK76" i="7"/>
  <c r="AJ76" i="7"/>
  <c r="AI76" i="7"/>
  <c r="AH76" i="7"/>
  <c r="AG76" i="7"/>
  <c r="AU75" i="7"/>
  <c r="AT75" i="7"/>
  <c r="AS75" i="7"/>
  <c r="AR75" i="7"/>
  <c r="AQ75" i="7"/>
  <c r="AP75" i="7"/>
  <c r="AO75" i="7"/>
  <c r="AN75" i="7"/>
  <c r="AM75" i="7"/>
  <c r="AL75" i="7"/>
  <c r="AK75" i="7"/>
  <c r="AJ75" i="7"/>
  <c r="AI75" i="7"/>
  <c r="AH75" i="7"/>
  <c r="AG75" i="7"/>
  <c r="AU74" i="7"/>
  <c r="AT74" i="7"/>
  <c r="AS74" i="7"/>
  <c r="AR74" i="7"/>
  <c r="AQ74" i="7"/>
  <c r="AP74" i="7"/>
  <c r="AO74" i="7"/>
  <c r="AN74" i="7"/>
  <c r="AM74" i="7"/>
  <c r="AL74" i="7"/>
  <c r="AK74" i="7"/>
  <c r="AJ74" i="7"/>
  <c r="AI74" i="7"/>
  <c r="AH74" i="7"/>
  <c r="AG74" i="7"/>
  <c r="AU73" i="7"/>
  <c r="AT73" i="7"/>
  <c r="AS73" i="7"/>
  <c r="AR73" i="7"/>
  <c r="AQ73" i="7"/>
  <c r="AP73" i="7"/>
  <c r="AO73" i="7"/>
  <c r="AN73" i="7"/>
  <c r="AM73" i="7"/>
  <c r="AL73" i="7"/>
  <c r="AK73" i="7"/>
  <c r="AJ73" i="7"/>
  <c r="AI73" i="7"/>
  <c r="AH73" i="7"/>
  <c r="AG73" i="7"/>
  <c r="AU72" i="7"/>
  <c r="AT72" i="7"/>
  <c r="AS72" i="7"/>
  <c r="AR72" i="7"/>
  <c r="AQ72" i="7"/>
  <c r="AP72" i="7"/>
  <c r="AO72" i="7"/>
  <c r="AN72" i="7"/>
  <c r="AM72" i="7"/>
  <c r="AL72" i="7"/>
  <c r="AK72" i="7"/>
  <c r="AJ72" i="7"/>
  <c r="AI72" i="7"/>
  <c r="AH72" i="7"/>
  <c r="AG72" i="7"/>
  <c r="AU71" i="7"/>
  <c r="AT71" i="7"/>
  <c r="AS71" i="7"/>
  <c r="AR71" i="7"/>
  <c r="AQ71" i="7"/>
  <c r="AP71" i="7"/>
  <c r="AO71" i="7"/>
  <c r="AN71" i="7"/>
  <c r="AM71" i="7"/>
  <c r="AL71" i="7"/>
  <c r="AK71" i="7"/>
  <c r="AJ71" i="7"/>
  <c r="AI71" i="7"/>
  <c r="AH71" i="7"/>
  <c r="AG71" i="7"/>
  <c r="AU70" i="7"/>
  <c r="AT70" i="7"/>
  <c r="AS70" i="7"/>
  <c r="AR70" i="7"/>
  <c r="AQ70" i="7"/>
  <c r="AP70" i="7"/>
  <c r="AO70" i="7"/>
  <c r="AN70" i="7"/>
  <c r="AM70" i="7"/>
  <c r="AL70" i="7"/>
  <c r="AK70" i="7"/>
  <c r="AJ70" i="7"/>
  <c r="AI70" i="7"/>
  <c r="AH70" i="7"/>
  <c r="AG70" i="7"/>
  <c r="AU69" i="7"/>
  <c r="AT69" i="7"/>
  <c r="AS69" i="7"/>
  <c r="AR69" i="7"/>
  <c r="AQ69" i="7"/>
  <c r="AP69" i="7"/>
  <c r="AO69" i="7"/>
  <c r="AN69" i="7"/>
  <c r="AM69" i="7"/>
  <c r="AL69" i="7"/>
  <c r="AK69" i="7"/>
  <c r="AJ69" i="7"/>
  <c r="AI69" i="7"/>
  <c r="AH69" i="7"/>
  <c r="AG69" i="7"/>
  <c r="AU68" i="7"/>
  <c r="AT68" i="7"/>
  <c r="AS68" i="7"/>
  <c r="AR68" i="7"/>
  <c r="AQ68" i="7"/>
  <c r="AP68" i="7"/>
  <c r="AO68" i="7"/>
  <c r="AN68" i="7"/>
  <c r="AM68" i="7"/>
  <c r="AL68" i="7"/>
  <c r="AK68" i="7"/>
  <c r="AJ68" i="7"/>
  <c r="AI68" i="7"/>
  <c r="AH68" i="7"/>
  <c r="AG68" i="7"/>
  <c r="AU67" i="7"/>
  <c r="AT67" i="7"/>
  <c r="AS67" i="7"/>
  <c r="AR67" i="7"/>
  <c r="AQ67" i="7"/>
  <c r="AP67" i="7"/>
  <c r="AO67" i="7"/>
  <c r="AN67" i="7"/>
  <c r="AM67" i="7"/>
  <c r="AL67" i="7"/>
  <c r="AK67" i="7"/>
  <c r="AJ67" i="7"/>
  <c r="AI67" i="7"/>
  <c r="AH67" i="7"/>
  <c r="AG67" i="7"/>
  <c r="AU66" i="7"/>
  <c r="AT66" i="7"/>
  <c r="AS66" i="7"/>
  <c r="AR66" i="7"/>
  <c r="AQ66" i="7"/>
  <c r="AP66" i="7"/>
  <c r="AO66" i="7"/>
  <c r="AN66" i="7"/>
  <c r="AM66" i="7"/>
  <c r="AL66" i="7"/>
  <c r="AK66" i="7"/>
  <c r="AJ66" i="7"/>
  <c r="AI66" i="7"/>
  <c r="AH66" i="7"/>
  <c r="AG66" i="7"/>
  <c r="AU65" i="7"/>
  <c r="AT65" i="7"/>
  <c r="AS65" i="7"/>
  <c r="AR65" i="7"/>
  <c r="AQ65" i="7"/>
  <c r="AP65" i="7"/>
  <c r="AO65" i="7"/>
  <c r="AN65" i="7"/>
  <c r="AM65" i="7"/>
  <c r="AL65" i="7"/>
  <c r="AK65" i="7"/>
  <c r="AJ65" i="7"/>
  <c r="AI65" i="7"/>
  <c r="AH65" i="7"/>
  <c r="AG65" i="7"/>
  <c r="AU64" i="7"/>
  <c r="AT64" i="7"/>
  <c r="AS64" i="7"/>
  <c r="AR64" i="7"/>
  <c r="AQ64" i="7"/>
  <c r="AP64" i="7"/>
  <c r="AO64" i="7"/>
  <c r="AN64" i="7"/>
  <c r="AM64" i="7"/>
  <c r="AL64" i="7"/>
  <c r="AK64" i="7"/>
  <c r="AJ64" i="7"/>
  <c r="AI64" i="7"/>
  <c r="AH64" i="7"/>
  <c r="AG64" i="7"/>
  <c r="AU63" i="7"/>
  <c r="AT63" i="7"/>
  <c r="AS63" i="7"/>
  <c r="AR63" i="7"/>
  <c r="AQ63" i="7"/>
  <c r="AP63" i="7"/>
  <c r="AO63" i="7"/>
  <c r="AN63" i="7"/>
  <c r="AM63" i="7"/>
  <c r="AL63" i="7"/>
  <c r="AK63" i="7"/>
  <c r="AJ63" i="7"/>
  <c r="AI63" i="7"/>
  <c r="AH63" i="7"/>
  <c r="AG63" i="7"/>
  <c r="AU62" i="7"/>
  <c r="AT62" i="7"/>
  <c r="AS62" i="7"/>
  <c r="AR62" i="7"/>
  <c r="AQ62" i="7"/>
  <c r="AP62" i="7"/>
  <c r="AO62" i="7"/>
  <c r="AN62" i="7"/>
  <c r="AM62" i="7"/>
  <c r="AL62" i="7"/>
  <c r="AK62" i="7"/>
  <c r="AJ62" i="7"/>
  <c r="AI62" i="7"/>
  <c r="AH62" i="7"/>
  <c r="AG62" i="7"/>
  <c r="AU61" i="7"/>
  <c r="AT61" i="7"/>
  <c r="AS61" i="7"/>
  <c r="AR61" i="7"/>
  <c r="AQ61" i="7"/>
  <c r="AP61" i="7"/>
  <c r="AO61" i="7"/>
  <c r="AN61" i="7"/>
  <c r="AM61" i="7"/>
  <c r="AL61" i="7"/>
  <c r="AK61" i="7"/>
  <c r="AJ61" i="7"/>
  <c r="AI61" i="7"/>
  <c r="AH61" i="7"/>
  <c r="AG61" i="7"/>
  <c r="AU60" i="7"/>
  <c r="AT60" i="7"/>
  <c r="AS60" i="7"/>
  <c r="AR60" i="7"/>
  <c r="AQ60" i="7"/>
  <c r="AP60" i="7"/>
  <c r="AO60" i="7"/>
  <c r="AN60" i="7"/>
  <c r="AM60" i="7"/>
  <c r="AL60" i="7"/>
  <c r="AK60" i="7"/>
  <c r="AJ60" i="7"/>
  <c r="AI60" i="7"/>
  <c r="AH60" i="7"/>
  <c r="AG60" i="7"/>
  <c r="AU59" i="7"/>
  <c r="AT59" i="7"/>
  <c r="AS59" i="7"/>
  <c r="AR59" i="7"/>
  <c r="AQ59" i="7"/>
  <c r="AP59" i="7"/>
  <c r="AO59" i="7"/>
  <c r="AN59" i="7"/>
  <c r="AM59" i="7"/>
  <c r="AL59" i="7"/>
  <c r="AK59" i="7"/>
  <c r="AJ59" i="7"/>
  <c r="AI59" i="7"/>
  <c r="AH59" i="7"/>
  <c r="AG59" i="7"/>
  <c r="AU58" i="7"/>
  <c r="AT58" i="7"/>
  <c r="AS58" i="7"/>
  <c r="AR58" i="7"/>
  <c r="AQ58" i="7"/>
  <c r="AP58" i="7"/>
  <c r="AO58" i="7"/>
  <c r="AN58" i="7"/>
  <c r="AM58" i="7"/>
  <c r="AL58" i="7"/>
  <c r="AK58" i="7"/>
  <c r="AJ58" i="7"/>
  <c r="AI58" i="7"/>
  <c r="AH58" i="7"/>
  <c r="AG58" i="7"/>
  <c r="AU57" i="7"/>
  <c r="AT57" i="7"/>
  <c r="AS57" i="7"/>
  <c r="AR57" i="7"/>
  <c r="AQ57" i="7"/>
  <c r="AP57" i="7"/>
  <c r="AO57" i="7"/>
  <c r="AN57" i="7"/>
  <c r="AM57" i="7"/>
  <c r="AL57" i="7"/>
  <c r="AK57" i="7"/>
  <c r="AJ57" i="7"/>
  <c r="AI57" i="7"/>
  <c r="AH57" i="7"/>
  <c r="AG57" i="7"/>
  <c r="AU56" i="7"/>
  <c r="AT56" i="7"/>
  <c r="AS56" i="7"/>
  <c r="AR56" i="7"/>
  <c r="AQ56" i="7"/>
  <c r="AP56" i="7"/>
  <c r="AO56" i="7"/>
  <c r="AN56" i="7"/>
  <c r="AM56" i="7"/>
  <c r="AL56" i="7"/>
  <c r="AK56" i="7"/>
  <c r="AJ56" i="7"/>
  <c r="AI56" i="7"/>
  <c r="AH56" i="7"/>
  <c r="AG56" i="7"/>
  <c r="AU55" i="7"/>
  <c r="AT55" i="7"/>
  <c r="AS55" i="7"/>
  <c r="AR55" i="7"/>
  <c r="AQ55" i="7"/>
  <c r="AP55" i="7"/>
  <c r="AO55" i="7"/>
  <c r="AN55" i="7"/>
  <c r="AM55" i="7"/>
  <c r="AL55" i="7"/>
  <c r="AK55" i="7"/>
  <c r="AJ55" i="7"/>
  <c r="AI55" i="7"/>
  <c r="AH55" i="7"/>
  <c r="AG55" i="7"/>
  <c r="AU54" i="7"/>
  <c r="AT54" i="7"/>
  <c r="AS54" i="7"/>
  <c r="AR54" i="7"/>
  <c r="AQ54" i="7"/>
  <c r="AP54" i="7"/>
  <c r="AO54" i="7"/>
  <c r="AN54" i="7"/>
  <c r="AM54" i="7"/>
  <c r="AL54" i="7"/>
  <c r="AK54" i="7"/>
  <c r="AJ54" i="7"/>
  <c r="AI54" i="7"/>
  <c r="AH54" i="7"/>
  <c r="AG54" i="7"/>
  <c r="AU53" i="7"/>
  <c r="AT53" i="7"/>
  <c r="AS53" i="7"/>
  <c r="AR53" i="7"/>
  <c r="AQ53" i="7"/>
  <c r="AP53" i="7"/>
  <c r="AO53" i="7"/>
  <c r="AN53" i="7"/>
  <c r="AM53" i="7"/>
  <c r="AL53" i="7"/>
  <c r="AK53" i="7"/>
  <c r="AJ53" i="7"/>
  <c r="AI53" i="7"/>
  <c r="AH53" i="7"/>
  <c r="AG53" i="7"/>
  <c r="AU52" i="7"/>
  <c r="AT52" i="7"/>
  <c r="AS52" i="7"/>
  <c r="AR52" i="7"/>
  <c r="AQ52" i="7"/>
  <c r="AP52" i="7"/>
  <c r="AO52" i="7"/>
  <c r="AN52" i="7"/>
  <c r="AM52" i="7"/>
  <c r="AL52" i="7"/>
  <c r="AK52" i="7"/>
  <c r="AJ52" i="7"/>
  <c r="AI52" i="7"/>
  <c r="AH52" i="7"/>
  <c r="AG52" i="7"/>
  <c r="AU51" i="7"/>
  <c r="AT51" i="7"/>
  <c r="AS51" i="7"/>
  <c r="AR51" i="7"/>
  <c r="AQ51" i="7"/>
  <c r="AP51" i="7"/>
  <c r="AO51" i="7"/>
  <c r="AN51" i="7"/>
  <c r="AM51" i="7"/>
  <c r="AL51" i="7"/>
  <c r="AK51" i="7"/>
  <c r="AJ51" i="7"/>
  <c r="AI51" i="7"/>
  <c r="AH51" i="7"/>
  <c r="AG51" i="7"/>
  <c r="AU50" i="7"/>
  <c r="AT50" i="7"/>
  <c r="AS50" i="7"/>
  <c r="AR50" i="7"/>
  <c r="AQ50" i="7"/>
  <c r="AP50" i="7"/>
  <c r="AO50" i="7"/>
  <c r="AN50" i="7"/>
  <c r="AM50" i="7"/>
  <c r="AL50" i="7"/>
  <c r="AK50" i="7"/>
  <c r="AJ50" i="7"/>
  <c r="AI50" i="7"/>
  <c r="AH50" i="7"/>
  <c r="AG50" i="7"/>
  <c r="AU49" i="7"/>
  <c r="AT49" i="7"/>
  <c r="AS49" i="7"/>
  <c r="AR49" i="7"/>
  <c r="AQ49" i="7"/>
  <c r="AP49" i="7"/>
  <c r="AO49" i="7"/>
  <c r="AN49" i="7"/>
  <c r="AM49" i="7"/>
  <c r="AL49" i="7"/>
  <c r="AK49" i="7"/>
  <c r="AJ49" i="7"/>
  <c r="AI49" i="7"/>
  <c r="AH49" i="7"/>
  <c r="AG49" i="7"/>
  <c r="AU48" i="7"/>
  <c r="AT48" i="7"/>
  <c r="AS48" i="7"/>
  <c r="AR48" i="7"/>
  <c r="AQ48" i="7"/>
  <c r="AP48" i="7"/>
  <c r="AO48" i="7"/>
  <c r="AN48" i="7"/>
  <c r="AM48" i="7"/>
  <c r="AL48" i="7"/>
  <c r="AK48" i="7"/>
  <c r="AJ48" i="7"/>
  <c r="AI48" i="7"/>
  <c r="AH48" i="7"/>
  <c r="AG48" i="7"/>
  <c r="AU47" i="7"/>
  <c r="AT47" i="7"/>
  <c r="AS47" i="7"/>
  <c r="AR47" i="7"/>
  <c r="AQ47" i="7"/>
  <c r="AP47" i="7"/>
  <c r="AO47" i="7"/>
  <c r="AN47" i="7"/>
  <c r="AM47" i="7"/>
  <c r="AL47" i="7"/>
  <c r="AK47" i="7"/>
  <c r="AJ47" i="7"/>
  <c r="AI47" i="7"/>
  <c r="AH47" i="7"/>
  <c r="AG47" i="7"/>
  <c r="AU46" i="7"/>
  <c r="AT46" i="7"/>
  <c r="AS46" i="7"/>
  <c r="AR46" i="7"/>
  <c r="AQ46" i="7"/>
  <c r="AP46" i="7"/>
  <c r="AO46" i="7"/>
  <c r="AN46" i="7"/>
  <c r="AM46" i="7"/>
  <c r="AL46" i="7"/>
  <c r="AK46" i="7"/>
  <c r="AJ46" i="7"/>
  <c r="AI46" i="7"/>
  <c r="AH46" i="7"/>
  <c r="AG46" i="7"/>
  <c r="AU45" i="7"/>
  <c r="AT45" i="7"/>
  <c r="AS45" i="7"/>
  <c r="AR45" i="7"/>
  <c r="AQ45" i="7"/>
  <c r="AP45" i="7"/>
  <c r="AO45" i="7"/>
  <c r="AN45" i="7"/>
  <c r="AM45" i="7"/>
  <c r="AL45" i="7"/>
  <c r="AK45" i="7"/>
  <c r="AJ45" i="7"/>
  <c r="AI45" i="7"/>
  <c r="AH45" i="7"/>
  <c r="AG45" i="7"/>
  <c r="AU44" i="7"/>
  <c r="AT44" i="7"/>
  <c r="AS44" i="7"/>
  <c r="AR44" i="7"/>
  <c r="AQ44" i="7"/>
  <c r="AP44" i="7"/>
  <c r="AO44" i="7"/>
  <c r="AN44" i="7"/>
  <c r="AM44" i="7"/>
  <c r="AL44" i="7"/>
  <c r="AK44" i="7"/>
  <c r="AJ44" i="7"/>
  <c r="AI44" i="7"/>
  <c r="AH44" i="7"/>
  <c r="AG44" i="7"/>
  <c r="AU43" i="7"/>
  <c r="AT43" i="7"/>
  <c r="AS43" i="7"/>
  <c r="AR43" i="7"/>
  <c r="AQ43" i="7"/>
  <c r="AP43" i="7"/>
  <c r="AO43" i="7"/>
  <c r="AN43" i="7"/>
  <c r="AM43" i="7"/>
  <c r="AL43" i="7"/>
  <c r="AK43" i="7"/>
  <c r="AJ43" i="7"/>
  <c r="AI43" i="7"/>
  <c r="AH43" i="7"/>
  <c r="AG43" i="7"/>
  <c r="AU42" i="7"/>
  <c r="AT42" i="7"/>
  <c r="AS42" i="7"/>
  <c r="AR42" i="7"/>
  <c r="AQ42" i="7"/>
  <c r="AP42" i="7"/>
  <c r="AO42" i="7"/>
  <c r="AN42" i="7"/>
  <c r="AM42" i="7"/>
  <c r="AL42" i="7"/>
  <c r="AK42" i="7"/>
  <c r="AJ42" i="7"/>
  <c r="AI42" i="7"/>
  <c r="AH42" i="7"/>
  <c r="AG42" i="7"/>
  <c r="AU41" i="7"/>
  <c r="AT41" i="7"/>
  <c r="AS41" i="7"/>
  <c r="AR41" i="7"/>
  <c r="AQ41" i="7"/>
  <c r="AP41" i="7"/>
  <c r="AO41" i="7"/>
  <c r="AN41" i="7"/>
  <c r="AM41" i="7"/>
  <c r="AL41" i="7"/>
  <c r="AK41" i="7"/>
  <c r="AJ41" i="7"/>
  <c r="AI41" i="7"/>
  <c r="AH41" i="7"/>
  <c r="AG41" i="7"/>
  <c r="AU40" i="7"/>
  <c r="AT40" i="7"/>
  <c r="AS40" i="7"/>
  <c r="AR40" i="7"/>
  <c r="AQ40" i="7"/>
  <c r="AP40" i="7"/>
  <c r="AO40" i="7"/>
  <c r="AN40" i="7"/>
  <c r="AM40" i="7"/>
  <c r="AL40" i="7"/>
  <c r="AK40" i="7"/>
  <c r="AJ40" i="7"/>
  <c r="AI40" i="7"/>
  <c r="AH40" i="7"/>
  <c r="AG40" i="7"/>
  <c r="AU39" i="7"/>
  <c r="AT39" i="7"/>
  <c r="AS39" i="7"/>
  <c r="AR39" i="7"/>
  <c r="AQ39" i="7"/>
  <c r="AP39" i="7"/>
  <c r="AO39" i="7"/>
  <c r="AN39" i="7"/>
  <c r="AM39" i="7"/>
  <c r="AL39" i="7"/>
  <c r="AK39" i="7"/>
  <c r="AJ39" i="7"/>
  <c r="AI39" i="7"/>
  <c r="AH39" i="7"/>
  <c r="AG39" i="7"/>
  <c r="AU38" i="7"/>
  <c r="AT38" i="7"/>
  <c r="AS38" i="7"/>
  <c r="AR38" i="7"/>
  <c r="AQ38" i="7"/>
  <c r="AP38" i="7"/>
  <c r="AO38" i="7"/>
  <c r="AN38" i="7"/>
  <c r="AM38" i="7"/>
  <c r="AL38" i="7"/>
  <c r="AK38" i="7"/>
  <c r="AJ38" i="7"/>
  <c r="AI38" i="7"/>
  <c r="AH38" i="7"/>
  <c r="AG38" i="7"/>
  <c r="AU37" i="7"/>
  <c r="AT37" i="7"/>
  <c r="AS37" i="7"/>
  <c r="AR37" i="7"/>
  <c r="AQ37" i="7"/>
  <c r="AP37" i="7"/>
  <c r="AO37" i="7"/>
  <c r="AN37" i="7"/>
  <c r="AM37" i="7"/>
  <c r="AL37" i="7"/>
  <c r="AK37" i="7"/>
  <c r="AJ37" i="7"/>
  <c r="AI37" i="7"/>
  <c r="AH37" i="7"/>
  <c r="AG37" i="7"/>
  <c r="AU36" i="7"/>
  <c r="AT36" i="7"/>
  <c r="AS36" i="7"/>
  <c r="AR36" i="7"/>
  <c r="AQ36" i="7"/>
  <c r="AP36" i="7"/>
  <c r="AO36" i="7"/>
  <c r="AN36" i="7"/>
  <c r="AM36" i="7"/>
  <c r="AL36" i="7"/>
  <c r="AK36" i="7"/>
  <c r="AJ36" i="7"/>
  <c r="AI36" i="7"/>
  <c r="AH36" i="7"/>
  <c r="AG36" i="7"/>
  <c r="AU35" i="7"/>
  <c r="AT35" i="7"/>
  <c r="AS35" i="7"/>
  <c r="AR35" i="7"/>
  <c r="AQ35" i="7"/>
  <c r="AP35" i="7"/>
  <c r="AO35" i="7"/>
  <c r="AN35" i="7"/>
  <c r="AM35" i="7"/>
  <c r="AL35" i="7"/>
  <c r="AK35" i="7"/>
  <c r="AJ35" i="7"/>
  <c r="AI35" i="7"/>
  <c r="AH35" i="7"/>
  <c r="AG35" i="7"/>
  <c r="AU34" i="7"/>
  <c r="AT34" i="7"/>
  <c r="AS34" i="7"/>
  <c r="AR34" i="7"/>
  <c r="AQ34" i="7"/>
  <c r="AP34" i="7"/>
  <c r="AO34" i="7"/>
  <c r="AN34" i="7"/>
  <c r="AM34" i="7"/>
  <c r="AL34" i="7"/>
  <c r="AK34" i="7"/>
  <c r="AJ34" i="7"/>
  <c r="AI34" i="7"/>
  <c r="AH34" i="7"/>
  <c r="AG34" i="7"/>
  <c r="AU33" i="7"/>
  <c r="AT33" i="7"/>
  <c r="AS33" i="7"/>
  <c r="AR33" i="7"/>
  <c r="AQ33" i="7"/>
  <c r="AP33" i="7"/>
  <c r="AO33" i="7"/>
  <c r="AN33" i="7"/>
  <c r="AM33" i="7"/>
  <c r="AL33" i="7"/>
  <c r="AK33" i="7"/>
  <c r="AJ33" i="7"/>
  <c r="AI33" i="7"/>
  <c r="AH33" i="7"/>
  <c r="AG33" i="7"/>
  <c r="AU32" i="7"/>
  <c r="AT32" i="7"/>
  <c r="AS32" i="7"/>
  <c r="AR32" i="7"/>
  <c r="AQ32" i="7"/>
  <c r="AP32" i="7"/>
  <c r="AO32" i="7"/>
  <c r="AN32" i="7"/>
  <c r="AM32" i="7"/>
  <c r="AL32" i="7"/>
  <c r="AK32" i="7"/>
  <c r="AJ32" i="7"/>
  <c r="AI32" i="7"/>
  <c r="AH32" i="7"/>
  <c r="AG32" i="7"/>
  <c r="AU31" i="7"/>
  <c r="AT31" i="7"/>
  <c r="AS31" i="7"/>
  <c r="AR31" i="7"/>
  <c r="AQ31" i="7"/>
  <c r="AP31" i="7"/>
  <c r="AO31" i="7"/>
  <c r="AN31" i="7"/>
  <c r="AM31" i="7"/>
  <c r="AL31" i="7"/>
  <c r="AK31" i="7"/>
  <c r="AJ31" i="7"/>
  <c r="AI31" i="7"/>
  <c r="AH31" i="7"/>
  <c r="AG31" i="7"/>
  <c r="AU30" i="7"/>
  <c r="AT30" i="7"/>
  <c r="AS30" i="7"/>
  <c r="AR30" i="7"/>
  <c r="AQ30" i="7"/>
  <c r="AP30" i="7"/>
  <c r="AO30" i="7"/>
  <c r="AN30" i="7"/>
  <c r="AM30" i="7"/>
  <c r="AL30" i="7"/>
  <c r="AK30" i="7"/>
  <c r="AJ30" i="7"/>
  <c r="AI30" i="7"/>
  <c r="AH30" i="7"/>
  <c r="AG30" i="7"/>
  <c r="AU29" i="7"/>
  <c r="AT29" i="7"/>
  <c r="AS29" i="7"/>
  <c r="AR29" i="7"/>
  <c r="AQ29" i="7"/>
  <c r="AP29" i="7"/>
  <c r="AO29" i="7"/>
  <c r="AN29" i="7"/>
  <c r="AM29" i="7"/>
  <c r="AL29" i="7"/>
  <c r="AK29" i="7"/>
  <c r="AJ29" i="7"/>
  <c r="AI29" i="7"/>
  <c r="AH29" i="7"/>
  <c r="AG29" i="7"/>
  <c r="AU28" i="7"/>
  <c r="AT28" i="7"/>
  <c r="AS28" i="7"/>
  <c r="AR28" i="7"/>
  <c r="AQ28" i="7"/>
  <c r="AP28" i="7"/>
  <c r="AO28" i="7"/>
  <c r="AN28" i="7"/>
  <c r="AM28" i="7"/>
  <c r="AL28" i="7"/>
  <c r="AK28" i="7"/>
  <c r="AJ28" i="7"/>
  <c r="AI28" i="7"/>
  <c r="AH28" i="7"/>
  <c r="AG28" i="7"/>
  <c r="AU27" i="7"/>
  <c r="AT27" i="7"/>
  <c r="AS27" i="7"/>
  <c r="AR27" i="7"/>
  <c r="AQ27" i="7"/>
  <c r="AP27" i="7"/>
  <c r="AO27" i="7"/>
  <c r="AN27" i="7"/>
  <c r="AM27" i="7"/>
  <c r="AL27" i="7"/>
  <c r="AK27" i="7"/>
  <c r="AJ27" i="7"/>
  <c r="AI27" i="7"/>
  <c r="AH27" i="7"/>
  <c r="AG27" i="7"/>
  <c r="AU26" i="7"/>
  <c r="AT26" i="7"/>
  <c r="AS26" i="7"/>
  <c r="AR26" i="7"/>
  <c r="AQ26" i="7"/>
  <c r="AP26" i="7"/>
  <c r="AO26" i="7"/>
  <c r="AN26" i="7"/>
  <c r="AM26" i="7"/>
  <c r="AL26" i="7"/>
  <c r="AK26" i="7"/>
  <c r="AJ26" i="7"/>
  <c r="AI26" i="7"/>
  <c r="AH26" i="7"/>
  <c r="AG26" i="7"/>
  <c r="AU25" i="7"/>
  <c r="AT25" i="7"/>
  <c r="AS25" i="7"/>
  <c r="AR25" i="7"/>
  <c r="AQ25" i="7"/>
  <c r="AP25" i="7"/>
  <c r="AO25" i="7"/>
  <c r="AN25" i="7"/>
  <c r="AM25" i="7"/>
  <c r="AL25" i="7"/>
  <c r="AK25" i="7"/>
  <c r="AJ25" i="7"/>
  <c r="AI25" i="7"/>
  <c r="AH25" i="7"/>
  <c r="AG25" i="7"/>
  <c r="AU24" i="7"/>
  <c r="AT24" i="7"/>
  <c r="AS24" i="7"/>
  <c r="AR24" i="7"/>
  <c r="AQ24" i="7"/>
  <c r="AP24" i="7"/>
  <c r="AO24" i="7"/>
  <c r="AN24" i="7"/>
  <c r="AM24" i="7"/>
  <c r="AL24" i="7"/>
  <c r="AK24" i="7"/>
  <c r="AJ24" i="7"/>
  <c r="AI24" i="7"/>
  <c r="AH24" i="7"/>
  <c r="AG24" i="7"/>
  <c r="AU23" i="7"/>
  <c r="AT23" i="7"/>
  <c r="AS23" i="7"/>
  <c r="AR23" i="7"/>
  <c r="AQ23" i="7"/>
  <c r="AP23" i="7"/>
  <c r="AO23" i="7"/>
  <c r="AN23" i="7"/>
  <c r="AM23" i="7"/>
  <c r="AL23" i="7"/>
  <c r="AK23" i="7"/>
  <c r="AJ23" i="7"/>
  <c r="AI23" i="7"/>
  <c r="AH23" i="7"/>
  <c r="AG23" i="7"/>
  <c r="AU22" i="7"/>
  <c r="AT22" i="7"/>
  <c r="AS22" i="7"/>
  <c r="AR22" i="7"/>
  <c r="AQ22" i="7"/>
  <c r="AP22" i="7"/>
  <c r="AO22" i="7"/>
  <c r="AN22" i="7"/>
  <c r="AM22" i="7"/>
  <c r="AL22" i="7"/>
  <c r="AK22" i="7"/>
  <c r="AJ22" i="7"/>
  <c r="AI22" i="7"/>
  <c r="AH22" i="7"/>
  <c r="AG22" i="7"/>
  <c r="AU21" i="7"/>
  <c r="AT21" i="7"/>
  <c r="AS21" i="7"/>
  <c r="AR21" i="7"/>
  <c r="AQ21" i="7"/>
  <c r="AP21" i="7"/>
  <c r="AO21" i="7"/>
  <c r="AN21" i="7"/>
  <c r="AM21" i="7"/>
  <c r="AL21" i="7"/>
  <c r="AK21" i="7"/>
  <c r="AJ21" i="7"/>
  <c r="AI21" i="7"/>
  <c r="AH21" i="7"/>
  <c r="AG21" i="7"/>
  <c r="AU20" i="7"/>
  <c r="AT20" i="7"/>
  <c r="AS20" i="7"/>
  <c r="AR20" i="7"/>
  <c r="AQ20" i="7"/>
  <c r="AP20" i="7"/>
  <c r="AO20" i="7"/>
  <c r="AN20" i="7"/>
  <c r="AM20" i="7"/>
  <c r="AL20" i="7"/>
  <c r="AK20" i="7"/>
  <c r="AJ20" i="7"/>
  <c r="AI20" i="7"/>
  <c r="AH20" i="7"/>
  <c r="AG20" i="7"/>
  <c r="AU19" i="7"/>
  <c r="AT19" i="7"/>
  <c r="AS19" i="7"/>
  <c r="AR19" i="7"/>
  <c r="AQ19" i="7"/>
  <c r="AP19" i="7"/>
  <c r="AO19" i="7"/>
  <c r="AN19" i="7"/>
  <c r="AM19" i="7"/>
  <c r="AL19" i="7"/>
  <c r="AK19" i="7"/>
  <c r="AJ19" i="7"/>
  <c r="AI19" i="7"/>
  <c r="AH19" i="7"/>
  <c r="AG19" i="7"/>
  <c r="AU18" i="7"/>
  <c r="AT18" i="7"/>
  <c r="AS18" i="7"/>
  <c r="AR18" i="7"/>
  <c r="AQ18" i="7"/>
  <c r="AP18" i="7"/>
  <c r="AO18" i="7"/>
  <c r="AN18" i="7"/>
  <c r="AM18" i="7"/>
  <c r="AL18" i="7"/>
  <c r="AK18" i="7"/>
  <c r="AJ18" i="7"/>
  <c r="AI18" i="7"/>
  <c r="AH18" i="7"/>
  <c r="AG18" i="7"/>
  <c r="AU17" i="7"/>
  <c r="AT17" i="7"/>
  <c r="AS17" i="7"/>
  <c r="AR17" i="7"/>
  <c r="AQ17" i="7"/>
  <c r="AP17" i="7"/>
  <c r="AO17" i="7"/>
  <c r="AN17" i="7"/>
  <c r="AM17" i="7"/>
  <c r="AL17" i="7"/>
  <c r="AK17" i="7"/>
  <c r="AJ17" i="7"/>
  <c r="AI17" i="7"/>
  <c r="AH17" i="7"/>
  <c r="AG17" i="7"/>
  <c r="AU16" i="7"/>
  <c r="AT16" i="7"/>
  <c r="AS16" i="7"/>
  <c r="AR16" i="7"/>
  <c r="AQ16" i="7"/>
  <c r="AP16" i="7"/>
  <c r="AO16" i="7"/>
  <c r="AN16" i="7"/>
  <c r="AM16" i="7"/>
  <c r="AL16" i="7"/>
  <c r="AK16" i="7"/>
  <c r="AJ16" i="7"/>
  <c r="AI16" i="7"/>
  <c r="AH16" i="7"/>
  <c r="AG16" i="7"/>
  <c r="AU15" i="7"/>
  <c r="AT15" i="7"/>
  <c r="AS15" i="7"/>
  <c r="AR15" i="7"/>
  <c r="AQ15" i="7"/>
  <c r="AP15" i="7"/>
  <c r="AO15" i="7"/>
  <c r="AN15" i="7"/>
  <c r="AM15" i="7"/>
  <c r="AL15" i="7"/>
  <c r="AK15" i="7"/>
  <c r="AJ15" i="7"/>
  <c r="AI15" i="7"/>
  <c r="AH15" i="7"/>
  <c r="AG15" i="7"/>
  <c r="AU14" i="7"/>
  <c r="AT14" i="7"/>
  <c r="AS14" i="7"/>
  <c r="AR14" i="7"/>
  <c r="AQ14" i="7"/>
  <c r="AP14" i="7"/>
  <c r="AO14" i="7"/>
  <c r="AN14" i="7"/>
  <c r="AM14" i="7"/>
  <c r="AL14" i="7"/>
  <c r="AK14" i="7"/>
  <c r="AJ14" i="7"/>
  <c r="AI14" i="7"/>
  <c r="AH14" i="7"/>
  <c r="AG14" i="7"/>
  <c r="AU13" i="7"/>
  <c r="AT13" i="7"/>
  <c r="AS13" i="7"/>
  <c r="AR13" i="7"/>
  <c r="AQ13" i="7"/>
  <c r="AP13" i="7"/>
  <c r="AO13" i="7"/>
  <c r="AN13" i="7"/>
  <c r="AM13" i="7"/>
  <c r="AL13" i="7"/>
  <c r="AK13" i="7"/>
  <c r="AJ13" i="7"/>
  <c r="AI13" i="7"/>
  <c r="AH13" i="7"/>
  <c r="AG13" i="7"/>
  <c r="AU12" i="7"/>
  <c r="AT12" i="7"/>
  <c r="AS12" i="7"/>
  <c r="AR12" i="7"/>
  <c r="AQ12" i="7"/>
  <c r="AP12" i="7"/>
  <c r="AO12" i="7"/>
  <c r="AN12" i="7"/>
  <c r="AM12" i="7"/>
  <c r="AL12" i="7"/>
  <c r="AK12" i="7"/>
  <c r="AJ12" i="7"/>
  <c r="AI12" i="7"/>
  <c r="AH12" i="7"/>
  <c r="AG12" i="7"/>
  <c r="AU11" i="7"/>
  <c r="AT11" i="7"/>
  <c r="AS11" i="7"/>
  <c r="AR11" i="7"/>
  <c r="AQ11" i="7"/>
  <c r="AP11" i="7"/>
  <c r="AO11" i="7"/>
  <c r="AN11" i="7"/>
  <c r="AM11" i="7"/>
  <c r="AL11" i="7"/>
  <c r="AK11" i="7"/>
  <c r="AJ11" i="7"/>
  <c r="AI11" i="7"/>
  <c r="AH11" i="7"/>
  <c r="AG11" i="7"/>
  <c r="AU10" i="7"/>
  <c r="AT10" i="7"/>
  <c r="AS10" i="7"/>
  <c r="AR10" i="7"/>
  <c r="AQ10" i="7"/>
  <c r="AP10" i="7"/>
  <c r="AO10" i="7"/>
  <c r="AN10" i="7"/>
  <c r="AM10" i="7"/>
  <c r="AL10" i="7"/>
  <c r="AK10" i="7"/>
  <c r="AJ10" i="7"/>
  <c r="AI10" i="7"/>
  <c r="AH10" i="7"/>
  <c r="AG10" i="7"/>
  <c r="AU9" i="7"/>
  <c r="AT9" i="7"/>
  <c r="AS9" i="7"/>
  <c r="AR9" i="7"/>
  <c r="AQ9" i="7"/>
  <c r="AP9" i="7"/>
  <c r="AO9" i="7"/>
  <c r="AN9" i="7"/>
  <c r="AM9" i="7"/>
  <c r="AL9" i="7"/>
  <c r="AK9" i="7"/>
  <c r="AJ9" i="7"/>
  <c r="AI9" i="7"/>
  <c r="AH9" i="7"/>
  <c r="AG9" i="7"/>
  <c r="AU8" i="7"/>
  <c r="AT8" i="7"/>
  <c r="AS8" i="7"/>
  <c r="AR8" i="7"/>
  <c r="AQ8" i="7"/>
  <c r="AP8" i="7"/>
  <c r="AO8" i="7"/>
  <c r="AN8" i="7"/>
  <c r="AM8" i="7"/>
  <c r="AL8" i="7"/>
  <c r="AK8" i="7"/>
  <c r="AJ8" i="7"/>
  <c r="AI8" i="7"/>
  <c r="AH8" i="7"/>
  <c r="AG8" i="7"/>
  <c r="AU7" i="7"/>
  <c r="AT7" i="7"/>
  <c r="AS7" i="7"/>
  <c r="AR7" i="7"/>
  <c r="AQ7" i="7"/>
  <c r="AP7" i="7"/>
  <c r="AO7" i="7"/>
  <c r="AN7" i="7"/>
  <c r="AM7" i="7"/>
  <c r="AL7" i="7"/>
  <c r="AK7" i="7"/>
  <c r="AJ7" i="7"/>
  <c r="AI7" i="7"/>
  <c r="AH7" i="7"/>
  <c r="AG7" i="7"/>
  <c r="AU6" i="7"/>
  <c r="AT6" i="7"/>
  <c r="AS6" i="7"/>
  <c r="AR6" i="7"/>
  <c r="AQ6" i="7"/>
  <c r="AP6" i="7"/>
  <c r="AO6" i="7"/>
  <c r="AN6" i="7"/>
  <c r="AM6" i="7"/>
  <c r="AL6" i="7"/>
  <c r="AK6" i="7"/>
  <c r="AJ6" i="7"/>
  <c r="AI6" i="7"/>
  <c r="AH6" i="7"/>
  <c r="AG6" i="7"/>
  <c r="AU5" i="7"/>
  <c r="AT5" i="7"/>
  <c r="AS5" i="7"/>
  <c r="AR5" i="7"/>
  <c r="AQ5" i="7"/>
  <c r="AP5" i="7"/>
  <c r="AO5" i="7"/>
  <c r="AN5" i="7"/>
  <c r="AM5" i="7"/>
  <c r="AL5" i="7"/>
  <c r="AK5" i="7"/>
  <c r="AJ5" i="7"/>
  <c r="AI5" i="7"/>
  <c r="AH5" i="7"/>
  <c r="AG5" i="7"/>
  <c r="AU4" i="7"/>
  <c r="AT4" i="7"/>
  <c r="AS4" i="7"/>
  <c r="AR4" i="7"/>
  <c r="AQ4" i="7"/>
  <c r="AP4" i="7"/>
  <c r="AO4" i="7"/>
  <c r="AN4" i="7"/>
  <c r="AM4" i="7"/>
  <c r="AL4" i="7"/>
  <c r="AK4" i="7"/>
  <c r="AJ4" i="7"/>
  <c r="AI4" i="7"/>
  <c r="AH4" i="7"/>
  <c r="AG4" i="7"/>
  <c r="AU3" i="7"/>
  <c r="AT3" i="7"/>
  <c r="AS3" i="7"/>
  <c r="AR3" i="7"/>
  <c r="AQ3" i="7"/>
  <c r="AP3" i="7"/>
  <c r="AO3" i="7"/>
  <c r="AN3" i="7"/>
  <c r="AM3" i="7"/>
  <c r="AL3" i="7"/>
  <c r="AK3" i="7"/>
  <c r="AJ3" i="7"/>
  <c r="AI3" i="7"/>
  <c r="AH3" i="7"/>
  <c r="AG3" i="7"/>
  <c r="AU2" i="7"/>
  <c r="AT2" i="7"/>
  <c r="AS2" i="7"/>
  <c r="AR2" i="7"/>
  <c r="AQ2" i="7"/>
  <c r="AP2" i="7"/>
  <c r="AO2" i="7"/>
  <c r="AN2" i="7"/>
  <c r="AM2" i="7"/>
  <c r="AL2" i="7"/>
  <c r="AK2" i="7"/>
  <c r="AJ2" i="7"/>
  <c r="AI2" i="7"/>
  <c r="AH2" i="7"/>
  <c r="AG2" i="7"/>
</calcChain>
</file>

<file path=xl/sharedStrings.xml><?xml version="1.0" encoding="utf-8"?>
<sst xmlns="http://schemas.openxmlformats.org/spreadsheetml/2006/main" count="1759" uniqueCount="379">
  <si>
    <t>Column</t>
  </si>
  <si>
    <t>Type</t>
  </si>
  <si>
    <t>Description</t>
  </si>
  <si>
    <t>neighborhood</t>
  </si>
  <si>
    <t>Categorical</t>
  </si>
  <si>
    <t>Neighborhood name (unique identifier)</t>
  </si>
  <si>
    <t>neighborhood_type</t>
  </si>
  <si>
    <t>Broad neighborhood type (CRA etc.)</t>
  </si>
  <si>
    <t>neighborhood_subtype</t>
  </si>
  <si>
    <t>Regional subtype (North, Northwest, etc.)</t>
  </si>
  <si>
    <t>acs_vintage</t>
  </si>
  <si>
    <t>ACS data vintage (5Y23)</t>
  </si>
  <si>
    <t>pop_16plus</t>
  </si>
  <si>
    <t>Quantitative</t>
  </si>
  <si>
    <t>Population 16 years and over</t>
  </si>
  <si>
    <t>not_in_laborforce_16plus</t>
  </si>
  <si>
    <t>16+ not in labor force</t>
  </si>
  <si>
    <t>laborforce_16plus</t>
  </si>
  <si>
    <t>16+ in civilian labor force</t>
  </si>
  <si>
    <t>unemployed_16plus</t>
  </si>
  <si>
    <t>16+ unemployed</t>
  </si>
  <si>
    <t>pop_poverty_determined</t>
  </si>
  <si>
    <t>Population with poverty status determined</t>
  </si>
  <si>
    <t>People with Income to Poverty Ratio Under .50</t>
  </si>
  <si>
    <t>Deep poverty (&lt;50% of line)</t>
  </si>
  <si>
    <t>People with Income to Poverty .50 to .99</t>
  </si>
  <si>
    <t>Near poverty (50-99% of line)</t>
  </si>
  <si>
    <t>People with Income to Poverty 1.00 to 1.24</t>
  </si>
  <si>
    <t>Slightly above poverty (100-124%)</t>
  </si>
  <si>
    <t>People with Income to Poverty 1.25 to 1.49</t>
  </si>
  <si>
    <t>Above poverty (125-149%)</t>
  </si>
  <si>
    <t>People with Income to Poverty 1.50 to 1.84</t>
  </si>
  <si>
    <t>Above poverty (150-184%)</t>
  </si>
  <si>
    <t>People with Income to Poverty 1.85 to 1.99</t>
  </si>
  <si>
    <t>Above poverty (185-199%)</t>
  </si>
  <si>
    <t>People with Income to Poverty 2.00 and over</t>
  </si>
  <si>
    <t>Well above poverty line (200%+)</t>
  </si>
  <si>
    <t>families_poverty_determined</t>
  </si>
  <si>
    <t>Families assessed for poverty</t>
  </si>
  <si>
    <t>families_below_poverty</t>
  </si>
  <si>
    <t>Families below poverty line</t>
  </si>
  <si>
    <t>Married-couple family with related children of the householder under 18 years below poverty</t>
  </si>
  <si>
    <t>Married couples with kids below poverty</t>
  </si>
  <si>
    <t>Married-couple family without related children of the householder under 18 years below poverty</t>
  </si>
  <si>
    <t>Married couples without kids below poverty</t>
  </si>
  <si>
    <t>Single parents with related children of the householder under 18 years below poverty</t>
  </si>
  <si>
    <t>Single parents with kids below poverty</t>
  </si>
  <si>
    <t>Other family below poverty</t>
  </si>
  <si>
    <t>Other families below poverty</t>
  </si>
  <si>
    <t>pop20_64_poverty_determined</t>
  </si>
  <si>
    <t>Working-age population assessed</t>
  </si>
  <si>
    <t>pop20_64_below_poverty</t>
  </si>
  <si>
    <t>Working-age population below poverty</t>
  </si>
  <si>
    <t>employed20_64</t>
  </si>
  <si>
    <t>Working-age employed</t>
  </si>
  <si>
    <t>below_poverty_employed20_64</t>
  </si>
  <si>
    <t>Working poor (employed but in poverty)</t>
  </si>
  <si>
    <t>laborforce20_64</t>
  </si>
  <si>
    <t>Working-age in labor force</t>
  </si>
  <si>
    <t>laborforce20_64_below_poverty</t>
  </si>
  <si>
    <t>Labor force participants in poverty</t>
  </si>
  <si>
    <t>not_in_laborforce20_64</t>
  </si>
  <si>
    <t>Working-age not in labor force</t>
  </si>
  <si>
    <t>not_in_laborforce20_64_below_poverty</t>
  </si>
  <si>
    <t>Not in labor force &amp; poor</t>
  </si>
  <si>
    <t>unemployed20_64</t>
  </si>
  <si>
    <t>Unemployed working-age</t>
  </si>
  <si>
    <t>unemployed20_64_below_poverty</t>
  </si>
  <si>
    <t>Unemployed &amp; poor</t>
  </si>
  <si>
    <t>Neighborhood Name</t>
  </si>
  <si>
    <t>Neighborhood Type</t>
  </si>
  <si>
    <t>Neighborhood Subtype</t>
  </si>
  <si>
    <t>Population 16 years and over not in labor force</t>
  </si>
  <si>
    <t>Population 16 years and over in civilian labor force</t>
  </si>
  <si>
    <t>Population 16 years and over in civilian labor force unemployed</t>
  </si>
  <si>
    <t>Population for whom poverty status is determined</t>
  </si>
  <si>
    <t>Families for whom poverty status is determined</t>
  </si>
  <si>
    <t>Families with income in the past 12 months below poverty level</t>
  </si>
  <si>
    <t>Population 20 to 64 years for whom poverty status is determined</t>
  </si>
  <si>
    <t>Population 20 to 64 years below poverty</t>
  </si>
  <si>
    <t>Population 20 to 64 years employed</t>
  </si>
  <si>
    <t>Population 20 to 64 years below poverty employed</t>
  </si>
  <si>
    <t>People with Income to Poverty below 2.00</t>
  </si>
  <si>
    <t>Population 20 to 64 years in civilian labor force</t>
  </si>
  <si>
    <t>Population 20 to 64 years in civilian labor force below poverty</t>
  </si>
  <si>
    <t>Population 20 to 64 years not in labor force</t>
  </si>
  <si>
    <t>Population 20 to 64 years not in labor force below poverty</t>
  </si>
  <si>
    <t>Population 20 to 64 years unemployed</t>
  </si>
  <si>
    <t>Population 20 to 64 years unemployed below poverty</t>
  </si>
  <si>
    <t>Poverty_rate_20_64</t>
  </si>
  <si>
    <t>Unemployment_rate_20_64</t>
  </si>
  <si>
    <t>Laborforce_participation_20_64</t>
  </si>
  <si>
    <t>Family_poverty_rate</t>
  </si>
  <si>
    <t>Employment_rate_20_64</t>
  </si>
  <si>
    <t>Nilf_share_20_64</t>
  </si>
  <si>
    <t>Family with related children below poverty</t>
  </si>
  <si>
    <t>Family without related children below poverty</t>
  </si>
  <si>
    <t>Single parents with related children below poverty</t>
  </si>
  <si>
    <t>Unemployment_rate_16+</t>
  </si>
  <si>
    <t>Employment_rate_16+</t>
  </si>
  <si>
    <t>Laborforce_participation_16+</t>
  </si>
  <si>
    <t>NILF_share_16+</t>
  </si>
  <si>
    <t>Key</t>
  </si>
  <si>
    <t>ACS Vinatage</t>
  </si>
  <si>
    <t>Olympic Hills/Victory Heights</t>
  </si>
  <si>
    <t>CRA</t>
  </si>
  <si>
    <t>North</t>
  </si>
  <si>
    <t>5Y23</t>
  </si>
  <si>
    <t>Cedar Park/Meadowbrook</t>
  </si>
  <si>
    <t>Broadview/Bitter Lake</t>
  </si>
  <si>
    <t>Northwest</t>
  </si>
  <si>
    <t>Licton Springs</t>
  </si>
  <si>
    <t>Greenwood/Phinney Ridge</t>
  </si>
  <si>
    <t>Green Lake</t>
  </si>
  <si>
    <t>Haller Lake</t>
  </si>
  <si>
    <t>North Beach/Blue Ridge</t>
  </si>
  <si>
    <t>Ballard</t>
  </si>
  <si>
    <t>Whittier Heights</t>
  </si>
  <si>
    <t>Sunset Hill/Loyal Heights</t>
  </si>
  <si>
    <t>Fremont</t>
  </si>
  <si>
    <t>Lake Union</t>
  </si>
  <si>
    <t>Wallingford</t>
  </si>
  <si>
    <t>Cascade/Eastlake</t>
  </si>
  <si>
    <t>Magnolia</t>
  </si>
  <si>
    <t>Magnolia/Queen Anne</t>
  </si>
  <si>
    <t>Interbay</t>
  </si>
  <si>
    <t>Queen Anne</t>
  </si>
  <si>
    <t>Belltown</t>
  </si>
  <si>
    <t>Downtown</t>
  </si>
  <si>
    <t>Downtown Commercial Core</t>
  </si>
  <si>
    <t>Pioneer Square/International District</t>
  </si>
  <si>
    <t>Council District 1</t>
  </si>
  <si>
    <t>CD</t>
  </si>
  <si>
    <t>Unknown</t>
  </si>
  <si>
    <t>Council District 2</t>
  </si>
  <si>
    <t>Council District 3</t>
  </si>
  <si>
    <t>Council District 4</t>
  </si>
  <si>
    <t>Council District 5</t>
  </si>
  <si>
    <t>Council District 6</t>
  </si>
  <si>
    <t>Council District 7</t>
  </si>
  <si>
    <t>Arbor Heights</t>
  </si>
  <si>
    <t>Southwest</t>
  </si>
  <si>
    <t>Fauntleroy/Seaview</t>
  </si>
  <si>
    <t>West Seattle Junction/Genesee Hill</t>
  </si>
  <si>
    <t>Alki/Admiral</t>
  </si>
  <si>
    <t>North Delridge</t>
  </si>
  <si>
    <t>Delridge Neighborhoods</t>
  </si>
  <si>
    <t>High Point</t>
  </si>
  <si>
    <t>Riverview</t>
  </si>
  <si>
    <t>Roxhill/Westwood</t>
  </si>
  <si>
    <t>Highland Park</t>
  </si>
  <si>
    <t>South Park</t>
  </si>
  <si>
    <t>Greater Duwamish</t>
  </si>
  <si>
    <t>Georgetown</t>
  </si>
  <si>
    <t>Duwamish/SODO</t>
  </si>
  <si>
    <t>South Beacon Hill/NewHolly</t>
  </si>
  <si>
    <t>Beacon Hill</t>
  </si>
  <si>
    <t>North Beacon Hill/Jefferson Park</t>
  </si>
  <si>
    <t>Rainier Beach</t>
  </si>
  <si>
    <t>Southeast</t>
  </si>
  <si>
    <t>Columbia City</t>
  </si>
  <si>
    <t>Seward Park</t>
  </si>
  <si>
    <t>Mt. Baker/North Rainier</t>
  </si>
  <si>
    <t>Madrona/Leschi</t>
  </si>
  <si>
    <t>Central</t>
  </si>
  <si>
    <t>Judkins Park</t>
  </si>
  <si>
    <t>Central Area/Squire Park</t>
  </si>
  <si>
    <t>First Hill</t>
  </si>
  <si>
    <t>East</t>
  </si>
  <si>
    <t>Capitol Hill</t>
  </si>
  <si>
    <t>North Capitol Hill</t>
  </si>
  <si>
    <t>Miller Park</t>
  </si>
  <si>
    <t>Madison Park</t>
  </si>
  <si>
    <t>Montlake/Portage Bay</t>
  </si>
  <si>
    <t>Northeast</t>
  </si>
  <si>
    <t>University District</t>
  </si>
  <si>
    <t>Ravenna/Bryant</t>
  </si>
  <si>
    <t>Wedgwood/View Ridge</t>
  </si>
  <si>
    <t>Laurelhurst/Sand Point</t>
  </si>
  <si>
    <t>Northgate/Maple Leaf</t>
  </si>
  <si>
    <t>Outside Villages</t>
  </si>
  <si>
    <t>UCUV</t>
  </si>
  <si>
    <t>Aurora-Licton Springs</t>
  </si>
  <si>
    <t>Residential Urban Village</t>
  </si>
  <si>
    <t>Greenwood-Phinney Ridge</t>
  </si>
  <si>
    <t>Crown Hill</t>
  </si>
  <si>
    <t>Upper Queen Anne</t>
  </si>
  <si>
    <t>Eastlake</t>
  </si>
  <si>
    <t>23rd &amp; Union-Jackson</t>
  </si>
  <si>
    <t>North Beacon Hill</t>
  </si>
  <si>
    <t>Admiral</t>
  </si>
  <si>
    <t>Bitter Lake Village</t>
  </si>
  <si>
    <t>Hub Urban Village</t>
  </si>
  <si>
    <t>Othello</t>
  </si>
  <si>
    <t>Westwood-Highland Park</t>
  </si>
  <si>
    <t>Madison-Miller</t>
  </si>
  <si>
    <t>Lake City</t>
  </si>
  <si>
    <t>Roosevelt</t>
  </si>
  <si>
    <t>West Seattle Junction</t>
  </si>
  <si>
    <t>Morgan Junction</t>
  </si>
  <si>
    <t>Northgate</t>
  </si>
  <si>
    <t>Urban Center</t>
  </si>
  <si>
    <t>Mt Baker</t>
  </si>
  <si>
    <t>South Lake Union</t>
  </si>
  <si>
    <t>Uptown</t>
  </si>
  <si>
    <t>First Hill/Capitol Hill</t>
  </si>
  <si>
    <t>Manufacturing Industrial</t>
  </si>
  <si>
    <t>Olympic Hills/Victory Heights | North</t>
  </si>
  <si>
    <t>Cedar Park/Meadowbrook | North</t>
  </si>
  <si>
    <t>Broadview/Bitter Lake | Northwest</t>
  </si>
  <si>
    <t>Licton Springs | Northwest</t>
  </si>
  <si>
    <t>Greenwood/Phinney Ridge | Northwest</t>
  </si>
  <si>
    <t>Green Lake | Northwest</t>
  </si>
  <si>
    <t>Haller Lake | Northwest</t>
  </si>
  <si>
    <t>North Beach/Blue Ridge | Ballard</t>
  </si>
  <si>
    <t>Whittier Heights | Ballard</t>
  </si>
  <si>
    <t>Sunset Hill/Loyal Heights | Ballard</t>
  </si>
  <si>
    <t>Ballard | Ballard</t>
  </si>
  <si>
    <t>Fremont | Lake Union</t>
  </si>
  <si>
    <t>Wallingford | Lake Union</t>
  </si>
  <si>
    <t>Cascade/Eastlake | Lake Union</t>
  </si>
  <si>
    <t>Magnolia | Magnolia/Queen Anne</t>
  </si>
  <si>
    <t>Interbay | Magnolia/Queen Anne</t>
  </si>
  <si>
    <t>Queen Anne | Magnolia/Queen Anne</t>
  </si>
  <si>
    <t>Belltown | Downtown</t>
  </si>
  <si>
    <t>Downtown Commercial Core | Downtown</t>
  </si>
  <si>
    <t>Pioneer Square/International District | Downtown</t>
  </si>
  <si>
    <t>Council District 1 | Unknown</t>
  </si>
  <si>
    <t>Council District 2 | Unknown</t>
  </si>
  <si>
    <t>Council District 3 | Unknown</t>
  </si>
  <si>
    <t>Council District 4 | Unknown</t>
  </si>
  <si>
    <t>Council District 5 | Unknown</t>
  </si>
  <si>
    <t>Council District 6 | Unknown</t>
  </si>
  <si>
    <t>Council District 7 | Unknown</t>
  </si>
  <si>
    <t>Arbor Heights | Southwest</t>
  </si>
  <si>
    <t>Fauntleroy/Seaview | Southwest</t>
  </si>
  <si>
    <t>West Seattle Junction/Genesee Hill | Southwest</t>
  </si>
  <si>
    <t>Alki/Admiral | Southwest</t>
  </si>
  <si>
    <t>North Delridge | Delridge Neighborhoods</t>
  </si>
  <si>
    <t>High Point | Delridge Neighborhoods</t>
  </si>
  <si>
    <t>Riverview | Delridge Neighborhoods</t>
  </si>
  <si>
    <t>Roxhill/Westwood | Delridge Neighborhoods</t>
  </si>
  <si>
    <t>Highland Park | Delridge Neighborhoods</t>
  </si>
  <si>
    <t>South Park | Greater Duwamish</t>
  </si>
  <si>
    <t>Georgetown | Greater Duwamish</t>
  </si>
  <si>
    <t>Duwamish/SODO | Greater Duwamish</t>
  </si>
  <si>
    <t>South Beacon Hill/NewHolly | Greater Duwamish</t>
  </si>
  <si>
    <t>Beacon Hill | Greater Duwamish</t>
  </si>
  <si>
    <t>North Beacon Hill/Jefferson Park | Greater Duwamish</t>
  </si>
  <si>
    <t>Rainier Beach | Southeast</t>
  </si>
  <si>
    <t>Columbia City | Southeast</t>
  </si>
  <si>
    <t>Seward Park | Southeast</t>
  </si>
  <si>
    <t>Mt. Baker/North Rainier | Southeast</t>
  </si>
  <si>
    <t>Madrona/Leschi | Central</t>
  </si>
  <si>
    <t>Judkins Park | Central</t>
  </si>
  <si>
    <t>Central Area/Squire Park | Central</t>
  </si>
  <si>
    <t>First Hill | East</t>
  </si>
  <si>
    <t>Capitol Hill | East</t>
  </si>
  <si>
    <t>North Capitol Hill | East</t>
  </si>
  <si>
    <t>Miller Park | East</t>
  </si>
  <si>
    <t>Madison Park | East</t>
  </si>
  <si>
    <t>Montlake/Portage Bay | Northeast</t>
  </si>
  <si>
    <t>University District | Northeast</t>
  </si>
  <si>
    <t>Ravenna/Bryant | Northeast</t>
  </si>
  <si>
    <t>Wedgwood/View Ridge | Northeast</t>
  </si>
  <si>
    <t>Laurelhurst/Sand Point | Northeast</t>
  </si>
  <si>
    <t>Northgate/Maple Leaf | North</t>
  </si>
  <si>
    <t>Outside Villages | Outside Villages</t>
  </si>
  <si>
    <t>Aurora-Licton Springs | Residential Urban Village</t>
  </si>
  <si>
    <t>Greenwood-Phinney Ridge | Residential Urban Village</t>
  </si>
  <si>
    <t>Crown Hill | Residential Urban Village</t>
  </si>
  <si>
    <t>Upper Queen Anne | Residential Urban Village</t>
  </si>
  <si>
    <t>Eastlake | Residential Urban Village</t>
  </si>
  <si>
    <t>23rd &amp; Union-Jackson | Residential Urban Village</t>
  </si>
  <si>
    <t>North Beacon Hill | Residential Urban Village</t>
  </si>
  <si>
    <t>Columbia City | Residential Urban Village</t>
  </si>
  <si>
    <t>Admiral | Residential Urban Village</t>
  </si>
  <si>
    <t>Bitter Lake Village | Hub Urban Village</t>
  </si>
  <si>
    <t>Othello | Residential Urban Village</t>
  </si>
  <si>
    <t>Westwood-Highland Park | Residential Urban Village</t>
  </si>
  <si>
    <t>South Park | Residential Urban Village</t>
  </si>
  <si>
    <t>Madison-Miller | Residential Urban Village</t>
  </si>
  <si>
    <t>Lake City | Hub Urban Village</t>
  </si>
  <si>
    <t>Roosevelt | Residential Urban Village</t>
  </si>
  <si>
    <t>Wallingford | Residential Urban Village</t>
  </si>
  <si>
    <t>Rainier Beach | Residential Urban Village</t>
  </si>
  <si>
    <t>West Seattle Junction | Hub Urban Village</t>
  </si>
  <si>
    <t>Morgan Junction | Residential Urban Village</t>
  </si>
  <si>
    <t>Green Lake | Residential Urban Village</t>
  </si>
  <si>
    <t>Northgate | Urban Center</t>
  </si>
  <si>
    <t>Fremont | Hub Urban Village</t>
  </si>
  <si>
    <t>Ballard | Hub Urban Village</t>
  </si>
  <si>
    <t>Mt Baker | Hub Urban Village</t>
  </si>
  <si>
    <t>South Lake Union | Urban Center</t>
  </si>
  <si>
    <t>University District | Urban Center</t>
  </si>
  <si>
    <t>Uptown | Urban Center</t>
  </si>
  <si>
    <t>Downtown | Urban Center</t>
  </si>
  <si>
    <t>First Hill/Capitol Hill | Urban Center</t>
  </si>
  <si>
    <t>Greater Duwamish | Manufacturing Industrial</t>
  </si>
  <si>
    <t>Grand Total</t>
  </si>
  <si>
    <t>Row Labels</t>
  </si>
  <si>
    <t>(All)</t>
  </si>
  <si>
    <t>Sum of Population 20 to 64 years employed</t>
  </si>
  <si>
    <t>Total Population 20 to 64 years below poverty</t>
  </si>
  <si>
    <t>Total Population 20 to 64 years for whom poverty status is determined</t>
  </si>
  <si>
    <t>Sum of Population 20 to 64 years unemployed</t>
  </si>
  <si>
    <t>Sum of Laborforce_participation_16+</t>
  </si>
  <si>
    <t>Avg of Unemployment_rate_16+</t>
  </si>
  <si>
    <t>Avg of Employment_rate_16+</t>
  </si>
  <si>
    <t>Avg of Laborforce_participation_16+</t>
  </si>
  <si>
    <t>Avg of Family_poverty_rate</t>
  </si>
  <si>
    <t>Average</t>
  </si>
  <si>
    <t>Employment rate</t>
  </si>
  <si>
    <t>Laborforce participation rate</t>
  </si>
  <si>
    <t>Total Pop_16&amp;morein  civilian labor force</t>
  </si>
  <si>
    <t>Total Pop_16&amp;more not in labor force</t>
  </si>
  <si>
    <t>Count of Family_poverty_rate</t>
  </si>
  <si>
    <t>0-0.05</t>
  </si>
  <si>
    <t>0.05-0.1</t>
  </si>
  <si>
    <t>0.1-0.15</t>
  </si>
  <si>
    <t>0.15-0.2</t>
  </si>
  <si>
    <t>0.2-0.25</t>
  </si>
  <si>
    <t>0.35-0.4</t>
  </si>
  <si>
    <t>Total_Pop_16&amp;over</t>
  </si>
  <si>
    <t>Total_Pop_16&amp;over not in labor force</t>
  </si>
  <si>
    <t>Total_Pop_16&amp;over in civilian labor force</t>
  </si>
  <si>
    <t>Total_Pop_16&amp;over in civilian labor force unemployed</t>
  </si>
  <si>
    <t>Total_Pop whose poverty status is determined</t>
  </si>
  <si>
    <t>Average of Poverty_rate_20_64</t>
  </si>
  <si>
    <t>Average of Unemployment_rate_20_64</t>
  </si>
  <si>
    <t>Average of Laborforce_participation_20_64</t>
  </si>
  <si>
    <t>Average of Employment_rate_20_64</t>
  </si>
  <si>
    <t>Average of Nilf_share_20_64</t>
  </si>
  <si>
    <t>Tot_ Pop_ Incm to Poverty Ratio Under .50</t>
  </si>
  <si>
    <t>Tot_ Pop_ Incm to Poverty Ratio .50 to .99</t>
  </si>
  <si>
    <t>Tot_ Pop_ Incm to Poverty Ratio 1.00 to 1.24</t>
  </si>
  <si>
    <t>Tot_ Pop_ Incm to Poverty Ratio1.25 to 1.49</t>
  </si>
  <si>
    <t>Tot_ Pop_ Incm to Poverty Ratio 1.50 to 1.84</t>
  </si>
  <si>
    <t>Tot_ Pop_ Incm to Poverty Ratio 1.85 to 1.99</t>
  </si>
  <si>
    <t>Tot_ Pop_ Incm to Poverty Ratio 2.00 and over</t>
  </si>
  <si>
    <t>Tot_Fams_inc_in the past 12 months below poverty level</t>
  </si>
  <si>
    <t>To filter Neighborhood Type:</t>
  </si>
  <si>
    <t>Family_poverty_rate_downtown</t>
  </si>
  <si>
    <t>Family_poverty_rate_Magnolia</t>
  </si>
  <si>
    <t>t-Test: Two-Sample Assuming Unequal Variances</t>
  </si>
  <si>
    <t>Variable 1</t>
  </si>
  <si>
    <t>Variable 2</t>
  </si>
  <si>
    <t>Mean</t>
  </si>
  <si>
    <t>Variance</t>
  </si>
  <si>
    <t>Observations</t>
  </si>
  <si>
    <t>Hypothesized Mean Difference</t>
  </si>
  <si>
    <t>df</t>
  </si>
  <si>
    <t>t Stat</t>
  </si>
  <si>
    <t>P(T&lt;=t) one-tail</t>
  </si>
  <si>
    <t>t Critical one-tail</t>
  </si>
  <si>
    <t>P(T&lt;=t) two-tail</t>
  </si>
  <si>
    <t>t Critical two-tail</t>
  </si>
  <si>
    <t>SUMMARY OUTPUT</t>
  </si>
  <si>
    <t>Regression Statistics</t>
  </si>
  <si>
    <t>Multiple R</t>
  </si>
  <si>
    <t>R Square</t>
  </si>
  <si>
    <t>Adjusted R Square</t>
  </si>
  <si>
    <t>Standard Error</t>
  </si>
  <si>
    <t>ANOVA</t>
  </si>
  <si>
    <t>Regression</t>
  </si>
  <si>
    <t>Residual</t>
  </si>
  <si>
    <t>Total</t>
  </si>
  <si>
    <t>Intercept</t>
  </si>
  <si>
    <t>SS</t>
  </si>
  <si>
    <t>MS</t>
  </si>
  <si>
    <t>F</t>
  </si>
  <si>
    <t>Significance F</t>
  </si>
  <si>
    <t>Coefficients</t>
  </si>
  <si>
    <t>P-value</t>
  </si>
  <si>
    <t>Lower 95%</t>
  </si>
  <si>
    <t>Upper 95%</t>
  </si>
  <si>
    <t>Lower 95.0%</t>
  </si>
  <si>
    <t>Upper 95.0%</t>
  </si>
  <si>
    <t>Correlation_Output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</si>
</sst>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0_ ;\-#,##0\ "/>
    <numFmt numFmtId="166" formatCode="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i/>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style="thin">
        <color auto="1"/>
      </bottom>
      <diagonal/>
    </border>
    <border>
      <left/>
      <right/>
      <top/>
      <bottom style="thin">
        <color theme="4" tint="0.3999755851924192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5">
    <xf numFmtId="0" fontId="0" fillId="0" borderId="0" xfId="0"/>
    <xf numFmtId="0" fontId="16" fillId="0" borderId="10" xfId="0" applyFont="1" applyBorder="1" applyAlignment="1">
      <alignment horizontal="center" vertical="top"/>
    </xf>
    <xf numFmtId="164" fontId="0" fillId="0" borderId="0" xfId="42" applyNumberFormat="1" applyFont="1"/>
    <xf numFmtId="165" fontId="0" fillId="0" borderId="0" xfId="42" applyNumberFormat="1" applyFont="1"/>
    <xf numFmtId="37" fontId="0" fillId="0" borderId="0" xfId="42" applyNumberFormat="1" applyFont="1"/>
    <xf numFmtId="0" fontId="0" fillId="33" borderId="0" xfId="0" applyFill="1"/>
    <xf numFmtId="2" fontId="0" fillId="33" borderId="0" xfId="0" applyNumberFormat="1" applyFill="1"/>
    <xf numFmtId="0" fontId="0" fillId="34" borderId="0" xfId="0" applyFill="1"/>
    <xf numFmtId="2" fontId="0" fillId="34" borderId="0" xfId="0" applyNumberFormat="1" applyFill="1"/>
    <xf numFmtId="0" fontId="0" fillId="35" borderId="0" xfId="0" applyFill="1"/>
    <xf numFmtId="2" fontId="0" fillId="35" borderId="0" xfId="0" applyNumberFormat="1" applyFill="1"/>
    <xf numFmtId="0" fontId="0" fillId="0" borderId="0" xfId="0" pivotButton="1"/>
    <xf numFmtId="2" fontId="0" fillId="0" borderId="0" xfId="42" applyNumberFormat="1" applyFont="1"/>
    <xf numFmtId="0" fontId="16" fillId="36" borderId="11" xfId="0" applyFont="1" applyFill="1" applyBorder="1"/>
    <xf numFmtId="0" fontId="0" fillId="0" borderId="0" xfId="0" applyAlignment="1">
      <alignment horizontal="left"/>
    </xf>
    <xf numFmtId="2" fontId="0" fillId="0" borderId="0" xfId="0" applyNumberFormat="1"/>
    <xf numFmtId="2" fontId="0" fillId="0" borderId="0" xfId="0" applyNumberFormat="1" applyAlignment="1">
      <alignment horizontal="left"/>
    </xf>
    <xf numFmtId="2" fontId="0" fillId="0" borderId="0" xfId="42" applyNumberFormat="1" applyFont="1" applyAlignment="1">
      <alignment horizontal="center"/>
    </xf>
    <xf numFmtId="2" fontId="0" fillId="34" borderId="0" xfId="0" applyNumberFormat="1" applyFill="1" applyAlignment="1">
      <alignment horizontal="center"/>
    </xf>
    <xf numFmtId="2" fontId="0" fillId="35" borderId="0" xfId="0" applyNumberFormat="1" applyFill="1" applyAlignment="1">
      <alignment horizontal="center"/>
    </xf>
    <xf numFmtId="2" fontId="0" fillId="33" borderId="0" xfId="0" applyNumberFormat="1" applyFill="1" applyAlignment="1">
      <alignment horizontal="center"/>
    </xf>
    <xf numFmtId="2" fontId="0" fillId="0" borderId="0" xfId="0" applyNumberFormat="1" applyAlignment="1">
      <alignment horizontal="center"/>
    </xf>
    <xf numFmtId="1" fontId="0" fillId="0" borderId="0" xfId="0" applyNumberFormat="1"/>
    <xf numFmtId="164" fontId="0" fillId="0" borderId="0" xfId="0" applyNumberFormat="1"/>
    <xf numFmtId="0" fontId="0" fillId="0" borderId="12" xfId="0" applyBorder="1"/>
    <xf numFmtId="0" fontId="0" fillId="34" borderId="12" xfId="0" applyFill="1" applyBorder="1"/>
    <xf numFmtId="2" fontId="0" fillId="34" borderId="12" xfId="0" applyNumberFormat="1" applyFill="1" applyBorder="1" applyAlignment="1">
      <alignment horizontal="center"/>
    </xf>
    <xf numFmtId="166" fontId="0" fillId="0" borderId="12" xfId="0" applyNumberFormat="1"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6" xfId="0" applyBorder="1"/>
    <xf numFmtId="0" fontId="0" fillId="0" borderId="17" xfId="0" applyBorder="1"/>
    <xf numFmtId="0" fontId="0" fillId="0" borderId="18" xfId="0" applyBorder="1"/>
    <xf numFmtId="0" fontId="0" fillId="0" borderId="19" xfId="0" applyBorder="1"/>
    <xf numFmtId="164" fontId="0" fillId="0" borderId="0" xfId="0" pivotButton="1" applyNumberFormat="1" applyAlignment="1">
      <alignment horizontal="center"/>
    </xf>
    <xf numFmtId="164" fontId="0" fillId="0" borderId="0" xfId="0" applyNumberFormat="1" applyAlignment="1">
      <alignment horizontal="center"/>
    </xf>
    <xf numFmtId="43" fontId="0" fillId="0" borderId="0" xfId="0" applyNumberFormat="1" applyAlignment="1">
      <alignment horizontal="center"/>
    </xf>
    <xf numFmtId="0" fontId="0" fillId="0" borderId="20" xfId="0" applyBorder="1"/>
    <xf numFmtId="0" fontId="19" fillId="0" borderId="21" xfId="0" applyFont="1" applyBorder="1" applyAlignment="1">
      <alignment horizontal="center"/>
    </xf>
    <xf numFmtId="0" fontId="19" fillId="0" borderId="21" xfId="0" applyFont="1" applyBorder="1" applyAlignment="1">
      <alignment horizontal="centerContinuous"/>
    </xf>
    <xf numFmtId="11" fontId="0" fillId="0" borderId="0" xfId="0" applyNumberFormat="1"/>
    <xf numFmtId="0" fontId="0" fillId="0" borderId="12" xfId="0" applyBorder="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numFmt numFmtId="164" formatCode="_ * #,##0_ ;_ * \-#,##0_ ;_ * &quot;-&quot;??_ ;_ @_ "/>
    </dxf>
    <dxf>
      <numFmt numFmtId="2" formatCode="0.00"/>
    </dxf>
    <dxf>
      <numFmt numFmtId="2" formatCode="0.00"/>
    </dxf>
    <dxf>
      <numFmt numFmtId="164" formatCode="_ * #,##0_ ;_ * \-#,##0_ ;_ * &quot;-&quot;??_ ;_ @_ "/>
    </dxf>
    <dxf>
      <numFmt numFmtId="1" formatCode="0"/>
    </dxf>
    <dxf>
      <numFmt numFmtId="1" formatCode="0"/>
    </dxf>
    <dxf>
      <alignment horizontal="left" vertical="bottom" textRotation="0" wrapText="0" indent="0" justifyLastLine="0" shrinkToFit="0" readingOrder="0"/>
    </dxf>
    <dxf>
      <numFmt numFmtId="164" formatCode="_ * #,##0_ ;_ * \-#,##0_ ;_ * &quot;-&quot;??_ ;_ @_ "/>
    </dxf>
    <dxf>
      <alignment horizontal="center"/>
    </dxf>
    <dxf>
      <alignment horizontal="center"/>
    </dxf>
    <dxf>
      <alignment horizontal="center"/>
    </dxf>
    <dxf>
      <alignment horizontal="center"/>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alignment horizontal="center"/>
    </dxf>
    <dxf>
      <alignment horizontal="center"/>
    </dxf>
    <dxf>
      <alignment horizontal="center"/>
    </dxf>
    <dxf>
      <alignment horizontal="center"/>
    </dxf>
    <dxf>
      <numFmt numFmtId="164" formatCode="_ * #,##0_ ;_ * \-#,##0_ ;_ * &quot;-&quot;??_ ;_ @_ "/>
    </dxf>
    <dxf>
      <numFmt numFmtId="164" formatCode="_ * #,##0_ ;_ * \-#,##0_ ;_ * &quot;-&quot;??_ ;_ @_ "/>
    </dxf>
    <dxf>
      <numFmt numFmtId="164" formatCode="_ * #,##0_ ;_ * \-#,##0_ ;_ * &quot;-&quot;??_ ;_ @_ "/>
    </dxf>
    <dxf>
      <numFmt numFmtId="164" formatCode="_ * #,##0_ ;_ * \-#,##0_ ;_ * &quot;-&quot;??_ ;_ @_ "/>
    </dxf>
    <dxf>
      <alignment horizontal="center"/>
    </dxf>
    <dxf>
      <alignment horizontal="center"/>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fill>
        <patternFill patternType="solid">
          <fgColor indexed="64"/>
          <bgColor theme="9" tint="0.59999389629810485"/>
        </patternFill>
      </fill>
      <alignment horizontal="center" vertical="bottom" textRotation="0" wrapText="0" indent="0" justifyLastLine="0" shrinkToFit="0" readingOrder="0"/>
    </dxf>
    <dxf>
      <numFmt numFmtId="2" formatCode="0.00"/>
      <fill>
        <patternFill patternType="solid">
          <fgColor indexed="64"/>
          <bgColor theme="9" tint="0.59999389629810485"/>
        </patternFill>
      </fill>
      <alignment horizontal="center" vertical="bottom" textRotation="0" wrapText="0" indent="0" justifyLastLine="0" shrinkToFit="0" readingOrder="0"/>
    </dxf>
    <dxf>
      <numFmt numFmtId="2" formatCode="0.00"/>
      <fill>
        <patternFill patternType="solid">
          <fgColor indexed="64"/>
          <bgColor theme="9" tint="0.59999389629810485"/>
        </patternFill>
      </fill>
      <alignment horizontal="center" vertical="bottom" textRotation="0" wrapText="0" indent="0" justifyLastLine="0" shrinkToFit="0" readingOrder="0"/>
    </dxf>
    <dxf>
      <numFmt numFmtId="2" formatCode="0.00"/>
      <fill>
        <patternFill patternType="solid">
          <fgColor indexed="64"/>
          <bgColor theme="9" tint="0.59999389629810485"/>
        </patternFill>
      </fill>
      <alignment horizontal="center" vertical="bottom" textRotation="0" wrapText="0" indent="0" justifyLastLine="0" shrinkToFit="0" readingOrder="0"/>
    </dxf>
    <dxf>
      <numFmt numFmtId="2" formatCode="0.00"/>
      <fill>
        <patternFill patternType="solid">
          <fgColor indexed="64"/>
          <bgColor theme="4" tint="0.59999389629810485"/>
        </patternFill>
      </fill>
      <alignment horizontal="center" vertical="bottom" textRotation="0" wrapText="0" indent="0" justifyLastLine="0" shrinkToFit="0" readingOrder="0"/>
    </dxf>
    <dxf>
      <numFmt numFmtId="2" formatCode="0.00"/>
      <fill>
        <patternFill patternType="solid">
          <fgColor indexed="64"/>
          <bgColor theme="4" tint="0.59999389629810485"/>
        </patternFill>
      </fill>
      <alignment horizontal="center" vertical="bottom" textRotation="0" wrapText="0" indent="0" justifyLastLine="0" shrinkToFit="0" readingOrder="0"/>
    </dxf>
    <dxf>
      <numFmt numFmtId="2" formatCode="0.00"/>
      <fill>
        <patternFill patternType="solid">
          <fgColor indexed="64"/>
          <bgColor theme="4" tint="0.59999389629810485"/>
        </patternFill>
      </fill>
      <alignment horizontal="center" vertical="bottom" textRotation="0" wrapText="0" indent="0" justifyLastLine="0" shrinkToFit="0" readingOrder="0"/>
    </dxf>
    <dxf>
      <numFmt numFmtId="2" formatCode="0.00"/>
      <fill>
        <patternFill patternType="solid">
          <fgColor indexed="64"/>
          <bgColor theme="4" tint="0.59999389629810485"/>
        </patternFill>
      </fill>
      <alignment horizontal="center" vertical="bottom" textRotation="0" wrapText="0" indent="0" justifyLastLine="0" shrinkToFit="0" readingOrder="0"/>
    </dxf>
    <dxf>
      <numFmt numFmtId="2" formatCode="0.00"/>
      <fill>
        <patternFill patternType="solid">
          <fgColor indexed="64"/>
          <bgColor theme="3" tint="0.79998168889431442"/>
        </patternFill>
      </fill>
      <alignment horizontal="center" vertical="bottom" textRotation="0" wrapText="0" indent="0" justifyLastLine="0" shrinkToFit="0" readingOrder="0"/>
    </dxf>
    <dxf>
      <numFmt numFmtId="2" formatCode="0.00"/>
      <fill>
        <patternFill patternType="solid">
          <fgColor indexed="64"/>
          <bgColor theme="3" tint="0.79998168889431442"/>
        </patternFill>
      </fill>
      <alignment horizontal="center" vertical="bottom" textRotation="0" wrapText="0" indent="0" justifyLastLine="0" shrinkToFit="0" readingOrder="0"/>
    </dxf>
    <dxf>
      <numFmt numFmtId="2" formatCode="0.00"/>
      <fill>
        <patternFill patternType="solid">
          <fgColor indexed="64"/>
          <bgColor theme="4" tint="0.59999389629810485"/>
        </patternFill>
      </fill>
      <alignment horizontal="center" vertical="bottom" textRotation="0" wrapText="0" indent="0" justifyLastLine="0" shrinkToFit="0" readingOrder="0"/>
    </dxf>
    <dxf>
      <numFmt numFmtId="2" formatCode="0.00"/>
      <fill>
        <patternFill patternType="solid">
          <fgColor indexed="64"/>
          <bgColor theme="3" tint="0.79998168889431442"/>
        </patternFill>
      </fill>
      <alignment horizontal="center" vertical="bottom" textRotation="0" wrapText="0" indent="0" justifyLastLine="0" shrinkToFit="0" readingOrder="0"/>
    </dxf>
    <dxf>
      <numFmt numFmtId="2" formatCode="0.00"/>
      <fill>
        <patternFill patternType="solid">
          <fgColor indexed="64"/>
          <bgColor theme="3" tint="0.79998168889431442"/>
        </patternFill>
      </fill>
      <alignment horizontal="center" vertical="bottom" textRotation="0" wrapText="0" indent="0" justifyLastLine="0" shrinkToFit="0" readingOrder="0"/>
    </dxf>
    <dxf>
      <numFmt numFmtId="2" formatCode="0.00"/>
      <fill>
        <patternFill patternType="solid">
          <fgColor indexed="64"/>
          <bgColor theme="3" tint="0.79998168889431442"/>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dxf>
    <dxf>
      <numFmt numFmtId="0" formatCode="Genera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4" tint="0.59999389629810485"/>
        </patternFill>
      </fill>
    </dxf>
    <dxf>
      <numFmt numFmtId="2" formatCode="0.00"/>
      <fill>
        <patternFill patternType="solid">
          <fgColor indexed="64"/>
          <bgColor theme="4" tint="0.59999389629810485"/>
        </patternFill>
      </fill>
    </dxf>
    <dxf>
      <numFmt numFmtId="2" formatCode="0.00"/>
      <fill>
        <patternFill patternType="solid">
          <fgColor indexed="64"/>
          <bgColor theme="4" tint="0.59999389629810485"/>
        </patternFill>
      </fill>
    </dxf>
    <dxf>
      <numFmt numFmtId="2" formatCode="0.00"/>
      <fill>
        <patternFill patternType="solid">
          <fgColor indexed="64"/>
          <bgColor theme="4" tint="0.59999389629810485"/>
        </patternFill>
      </fill>
    </dxf>
    <dxf>
      <numFmt numFmtId="2" formatCode="0.00"/>
      <fill>
        <patternFill patternType="solid">
          <fgColor indexed="64"/>
          <bgColor theme="3" tint="0.79998168889431442"/>
        </patternFill>
      </fill>
    </dxf>
    <dxf>
      <numFmt numFmtId="2" formatCode="0.00"/>
      <fill>
        <patternFill patternType="solid">
          <fgColor indexed="64"/>
          <bgColor theme="3" tint="0.79998168889431442"/>
        </patternFill>
      </fill>
    </dxf>
    <dxf>
      <numFmt numFmtId="2" formatCode="0.00"/>
      <fill>
        <patternFill patternType="solid">
          <fgColor indexed="64"/>
          <bgColor theme="4" tint="0.59999389629810485"/>
        </patternFill>
      </fill>
    </dxf>
    <dxf>
      <numFmt numFmtId="2" formatCode="0.00"/>
      <fill>
        <patternFill patternType="solid">
          <fgColor indexed="64"/>
          <bgColor theme="3" tint="0.79998168889431442"/>
        </patternFill>
      </fill>
    </dxf>
    <dxf>
      <numFmt numFmtId="2" formatCode="0.00"/>
      <fill>
        <patternFill patternType="solid">
          <fgColor indexed="64"/>
          <bgColor theme="3" tint="0.79998168889431442"/>
        </patternFill>
      </fill>
    </dxf>
    <dxf>
      <numFmt numFmtId="2" formatCode="0.00"/>
      <fill>
        <patternFill patternType="solid">
          <fgColor indexed="64"/>
          <bgColor theme="3"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2.531473350550472E-2"/>
          <c:y val="3.5128064890455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'1.Bar Chart'!$G$4</c:f>
              <c:strCache>
                <c:ptCount val="1"/>
                <c:pt idx="0">
                  <c:v>Total Population 20 to 64 years for whom poverty status is determined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'1.Bar Chart'!$F$5:$F$22</c:f>
              <c:strCache>
                <c:ptCount val="10"/>
                <c:pt idx="0">
                  <c:v>Ballard</c:v>
                </c:pt>
                <c:pt idx="1">
                  <c:v>Hub Urban Village</c:v>
                </c:pt>
                <c:pt idx="2">
                  <c:v>East</c:v>
                </c:pt>
                <c:pt idx="3">
                  <c:v>Magnolia/Queen Anne</c:v>
                </c:pt>
                <c:pt idx="4">
                  <c:v>Lake Union</c:v>
                </c:pt>
                <c:pt idx="5">
                  <c:v>Northeast</c:v>
                </c:pt>
                <c:pt idx="6">
                  <c:v>Northwest</c:v>
                </c:pt>
                <c:pt idx="7">
                  <c:v>Residential Urban Village</c:v>
                </c:pt>
                <c:pt idx="8">
                  <c:v>Urban Center</c:v>
                </c:pt>
                <c:pt idx="9">
                  <c:v>Outside Villages</c:v>
                </c:pt>
              </c:strCache>
            </c:strRef>
          </c:cat>
          <c:val>
            <c:numRef>
              <c:f>'1.Bar Chart'!$G$5:$G$22</c:f>
              <c:numCache>
                <c:formatCode>0</c:formatCode>
                <c:ptCount val="10"/>
                <c:pt idx="0">
                  <c:v>38400</c:v>
                </c:pt>
                <c:pt idx="1">
                  <c:v>43637</c:v>
                </c:pt>
                <c:pt idx="2">
                  <c:v>51046</c:v>
                </c:pt>
                <c:pt idx="3">
                  <c:v>51639</c:v>
                </c:pt>
                <c:pt idx="4">
                  <c:v>54630</c:v>
                </c:pt>
                <c:pt idx="5">
                  <c:v>54807</c:v>
                </c:pt>
                <c:pt idx="6">
                  <c:v>56156</c:v>
                </c:pt>
                <c:pt idx="7">
                  <c:v>87931</c:v>
                </c:pt>
                <c:pt idx="8">
                  <c:v>121696</c:v>
                </c:pt>
                <c:pt idx="9">
                  <c:v>266199</c:v>
                </c:pt>
              </c:numCache>
            </c:numRef>
          </c:val>
          <c:extLst>
            <c:ext xmlns:c16="http://schemas.microsoft.com/office/drawing/2014/chart" uri="{C3380CC4-5D6E-409C-BE32-E72D297353CC}">
              <c16:uniqueId val="{00000000-8B0C-4130-9838-50A1EE8D04C2}"/>
            </c:ext>
          </c:extLst>
        </c:ser>
        <c:dLbls>
          <c:dLblPos val="outEnd"/>
          <c:showLegendKey val="0"/>
          <c:showVal val="1"/>
          <c:showCatName val="0"/>
          <c:showSerName val="0"/>
          <c:showPercent val="0"/>
          <c:showBubbleSize val="0"/>
        </c:dLbls>
        <c:gapWidth val="182"/>
        <c:axId val="731337200"/>
        <c:axId val="731337680"/>
      </c:barChart>
      <c:catAx>
        <c:axId val="731337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Neighborhood Subttype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37680"/>
        <c:crosses val="autoZero"/>
        <c:auto val="1"/>
        <c:lblAlgn val="ctr"/>
        <c:lblOffset val="100"/>
        <c:noMultiLvlLbl val="0"/>
      </c:catAx>
      <c:valAx>
        <c:axId val="73133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Population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3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Employed vs Unemployed for population 20 to 64 years</a:t>
            </a:r>
          </a:p>
        </c:rich>
      </c:tx>
      <c:layout>
        <c:manualLayout>
          <c:xMode val="edge"/>
          <c:yMode val="edge"/>
          <c:x val="1.7516873571631428E-2"/>
          <c:y val="2.9239766081871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'3.Column Chart(Stacked)'!$C$28</c:f>
              <c:strCache>
                <c:ptCount val="1"/>
                <c:pt idx="0">
                  <c:v>Population 20 to 64 years employed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'3.Column Chart(Stacked)'!$B$29:$B$47</c:f>
              <c:strCache>
                <c:ptCount val="10"/>
                <c:pt idx="0">
                  <c:v>Manufacturing Industrial</c:v>
                </c:pt>
                <c:pt idx="1">
                  <c:v>Downtown</c:v>
                </c:pt>
                <c:pt idx="2">
                  <c:v>Central</c:v>
                </c:pt>
                <c:pt idx="3">
                  <c:v>Delridge Neighborhoods</c:v>
                </c:pt>
                <c:pt idx="4">
                  <c:v>Greater Duwamish</c:v>
                </c:pt>
                <c:pt idx="5">
                  <c:v>Ballard</c:v>
                </c:pt>
                <c:pt idx="6">
                  <c:v>Hub Urban Village</c:v>
                </c:pt>
                <c:pt idx="7">
                  <c:v>East</c:v>
                </c:pt>
                <c:pt idx="8">
                  <c:v>Magnolia/Queen Anne</c:v>
                </c:pt>
                <c:pt idx="9">
                  <c:v>Lake Union</c:v>
                </c:pt>
              </c:strCache>
            </c:strRef>
          </c:cat>
          <c:val>
            <c:numRef>
              <c:f>'3.Column Chart(Stacked)'!$C$29:$C$47</c:f>
              <c:numCache>
                <c:formatCode>General</c:formatCode>
                <c:ptCount val="10"/>
                <c:pt idx="0">
                  <c:v>361</c:v>
                </c:pt>
                <c:pt idx="1">
                  <c:v>15304</c:v>
                </c:pt>
                <c:pt idx="2">
                  <c:v>22026</c:v>
                </c:pt>
                <c:pt idx="3">
                  <c:v>23262</c:v>
                </c:pt>
                <c:pt idx="4">
                  <c:v>25428</c:v>
                </c:pt>
                <c:pt idx="5">
                  <c:v>32771</c:v>
                </c:pt>
                <c:pt idx="6">
                  <c:v>37810</c:v>
                </c:pt>
                <c:pt idx="7">
                  <c:v>42501</c:v>
                </c:pt>
                <c:pt idx="8">
                  <c:v>44436</c:v>
                </c:pt>
                <c:pt idx="9">
                  <c:v>47022</c:v>
                </c:pt>
              </c:numCache>
            </c:numRef>
          </c:val>
          <c:extLst>
            <c:ext xmlns:c16="http://schemas.microsoft.com/office/drawing/2014/chart" uri="{C3380CC4-5D6E-409C-BE32-E72D297353CC}">
              <c16:uniqueId val="{00000000-C8C6-46C9-8935-2122BF9B55F2}"/>
            </c:ext>
          </c:extLst>
        </c:ser>
        <c:ser>
          <c:idx val="1"/>
          <c:order val="1"/>
          <c:tx>
            <c:strRef>
              <c:f>'3.Column Chart(Stacked)'!$D$28</c:f>
              <c:strCache>
                <c:ptCount val="1"/>
                <c:pt idx="0">
                  <c:v>Population 20 to 64 years unemployed</c:v>
                </c:pt>
              </c:strCache>
            </c:strRef>
          </c:tx>
          <c:spPr>
            <a:solidFill>
              <a:schemeClr val="accent2"/>
            </a:solidFill>
            <a:ln>
              <a:noFill/>
            </a:ln>
            <a:effectLst/>
          </c:spPr>
          <c:invertIfNegative val="0"/>
          <c:dLbls>
            <c:dLbl>
              <c:idx val="0"/>
              <c:layout>
                <c:manualLayout>
                  <c:x val="-2.2118320256191971E-17"/>
                  <c:y val="-7.11091660187268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A2-47D2-B448-88C6EC7037BB}"/>
                </c:ext>
              </c:extLst>
            </c:dLbl>
            <c:dLbl>
              <c:idx val="7"/>
              <c:layout>
                <c:manualLayout>
                  <c:x val="8.8473281024767885E-17"/>
                  <c:y val="-2.83084773949204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A2-47D2-B448-88C6EC7037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'3.Column Chart(Stacked)'!$B$29:$B$47</c:f>
              <c:strCache>
                <c:ptCount val="10"/>
                <c:pt idx="0">
                  <c:v>Manufacturing Industrial</c:v>
                </c:pt>
                <c:pt idx="1">
                  <c:v>Downtown</c:v>
                </c:pt>
                <c:pt idx="2">
                  <c:v>Central</c:v>
                </c:pt>
                <c:pt idx="3">
                  <c:v>Delridge Neighborhoods</c:v>
                </c:pt>
                <c:pt idx="4">
                  <c:v>Greater Duwamish</c:v>
                </c:pt>
                <c:pt idx="5">
                  <c:v>Ballard</c:v>
                </c:pt>
                <c:pt idx="6">
                  <c:v>Hub Urban Village</c:v>
                </c:pt>
                <c:pt idx="7">
                  <c:v>East</c:v>
                </c:pt>
                <c:pt idx="8">
                  <c:v>Magnolia/Queen Anne</c:v>
                </c:pt>
                <c:pt idx="9">
                  <c:v>Lake Union</c:v>
                </c:pt>
              </c:strCache>
            </c:strRef>
          </c:cat>
          <c:val>
            <c:numRef>
              <c:f>'3.Column Chart(Stacked)'!$D$29:$D$47</c:f>
              <c:numCache>
                <c:formatCode>General</c:formatCode>
                <c:ptCount val="10"/>
                <c:pt idx="0">
                  <c:v>0</c:v>
                </c:pt>
                <c:pt idx="1">
                  <c:v>609</c:v>
                </c:pt>
                <c:pt idx="2">
                  <c:v>984</c:v>
                </c:pt>
                <c:pt idx="3">
                  <c:v>1058</c:v>
                </c:pt>
                <c:pt idx="4">
                  <c:v>914</c:v>
                </c:pt>
                <c:pt idx="5">
                  <c:v>1312</c:v>
                </c:pt>
                <c:pt idx="6">
                  <c:v>1605</c:v>
                </c:pt>
                <c:pt idx="7">
                  <c:v>2622</c:v>
                </c:pt>
                <c:pt idx="8">
                  <c:v>1468</c:v>
                </c:pt>
                <c:pt idx="9">
                  <c:v>1907</c:v>
                </c:pt>
              </c:numCache>
            </c:numRef>
          </c:val>
          <c:extLst>
            <c:ext xmlns:c16="http://schemas.microsoft.com/office/drawing/2014/chart" uri="{C3380CC4-5D6E-409C-BE32-E72D297353CC}">
              <c16:uniqueId val="{00000001-C8C6-46C9-8935-2122BF9B55F2}"/>
            </c:ext>
          </c:extLst>
        </c:ser>
        <c:dLbls>
          <c:dLblPos val="inBase"/>
          <c:showLegendKey val="0"/>
          <c:showVal val="1"/>
          <c:showCatName val="0"/>
          <c:showSerName val="0"/>
          <c:showPercent val="0"/>
          <c:showBubbleSize val="0"/>
        </c:dLbls>
        <c:gapWidth val="219"/>
        <c:overlap val="100"/>
        <c:axId val="550248128"/>
        <c:axId val="550245248"/>
      </c:barChart>
      <c:catAx>
        <c:axId val="550248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Neighborhood Subtype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45248"/>
        <c:crosses val="autoZero"/>
        <c:auto val="1"/>
        <c:lblAlgn val="ctr"/>
        <c:lblOffset val="100"/>
        <c:noMultiLvlLbl val="0"/>
      </c:catAx>
      <c:valAx>
        <c:axId val="5502452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48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Laborforce participation rate By Neighborhood Subtype</a:t>
            </a:r>
          </a:p>
        </c:rich>
      </c:tx>
      <c:layout>
        <c:manualLayout>
          <c:xMode val="edge"/>
          <c:yMode val="edge"/>
          <c:x val="3.4455994579031625E-2"/>
          <c:y val="1.5883100381194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1"/>
          <c:order val="1"/>
          <c:tx>
            <c:strRef>
              <c:f>'6.Bubble chart'!$B$29</c:f>
              <c:strCache>
                <c:ptCount val="1"/>
                <c:pt idx="0">
                  <c:v>Central</c:v>
                </c:pt>
              </c:strCache>
            </c:strRef>
          </c:tx>
          <c:spPr>
            <a:solidFill>
              <a:schemeClr val="accent2">
                <a:alpha val="75000"/>
              </a:schemeClr>
            </a:solidFill>
            <a:ln w="25400">
              <a:noFill/>
            </a:ln>
            <a:effectLst/>
          </c:spPr>
          <c:invertIfNegative val="0"/>
          <c:yVal>
            <c:numRef>
              <c:f>'6.Bubble chart'!$C$29</c:f>
              <c:numCache>
                <c:formatCode>0.000</c:formatCode>
                <c:ptCount val="1"/>
                <c:pt idx="0">
                  <c:v>2.1091578148733374</c:v>
                </c:pt>
              </c:numCache>
            </c:numRef>
          </c:yVal>
          <c:bubbleSize>
            <c:numRef>
              <c:f>'6.Bubble chart'!$C$30</c:f>
              <c:numCache>
                <c:formatCode>0.000</c:formatCode>
                <c:ptCount val="1"/>
                <c:pt idx="0">
                  <c:v>3.6511030212010818</c:v>
                </c:pt>
              </c:numCache>
            </c:numRef>
          </c:bubbleSize>
          <c:bubble3D val="0"/>
          <c:extLst>
            <c:ext xmlns:c16="http://schemas.microsoft.com/office/drawing/2014/chart" uri="{C3380CC4-5D6E-409C-BE32-E72D297353CC}">
              <c16:uniqueId val="{00000001-4D82-494D-AD3F-9F7E3D7E5A6A}"/>
            </c:ext>
          </c:extLst>
        </c:ser>
        <c:ser>
          <c:idx val="2"/>
          <c:order val="2"/>
          <c:tx>
            <c:strRef>
              <c:f>'6.Bubble chart'!$B$31</c:f>
              <c:strCache>
                <c:ptCount val="1"/>
                <c:pt idx="0">
                  <c:v>Downtown</c:v>
                </c:pt>
              </c:strCache>
            </c:strRef>
          </c:tx>
          <c:spPr>
            <a:solidFill>
              <a:schemeClr val="accent3">
                <a:alpha val="75000"/>
              </a:schemeClr>
            </a:solidFill>
            <a:ln w="25400">
              <a:noFill/>
            </a:ln>
            <a:effectLst/>
          </c:spPr>
          <c:invertIfNegative val="0"/>
          <c:yVal>
            <c:numRef>
              <c:f>'6.Bubble chart'!$C$31</c:f>
              <c:numCache>
                <c:formatCode>0.000</c:formatCode>
                <c:ptCount val="1"/>
                <c:pt idx="0">
                  <c:v>2.0635425526264628</c:v>
                </c:pt>
              </c:numCache>
            </c:numRef>
          </c:yVal>
          <c:bubbleSize>
            <c:numRef>
              <c:f>'6.Bubble chart'!$C$32</c:f>
              <c:numCache>
                <c:formatCode>0.000</c:formatCode>
                <c:ptCount val="1"/>
                <c:pt idx="0">
                  <c:v>3.6625373679833135</c:v>
                </c:pt>
              </c:numCache>
            </c:numRef>
          </c:bubbleSize>
          <c:bubble3D val="0"/>
          <c:extLst>
            <c:ext xmlns:c16="http://schemas.microsoft.com/office/drawing/2014/chart" uri="{C3380CC4-5D6E-409C-BE32-E72D297353CC}">
              <c16:uniqueId val="{00000002-4D82-494D-AD3F-9F7E3D7E5A6A}"/>
            </c:ext>
          </c:extLst>
        </c:ser>
        <c:ser>
          <c:idx val="3"/>
          <c:order val="3"/>
          <c:tx>
            <c:strRef>
              <c:f>'6.Bubble chart'!$B$33</c:f>
              <c:strCache>
                <c:ptCount val="1"/>
                <c:pt idx="0">
                  <c:v>Greater Duwamish</c:v>
                </c:pt>
              </c:strCache>
            </c:strRef>
          </c:tx>
          <c:spPr>
            <a:solidFill>
              <a:schemeClr val="accent4">
                <a:alpha val="75000"/>
              </a:schemeClr>
            </a:solidFill>
            <a:ln w="25400">
              <a:noFill/>
            </a:ln>
            <a:effectLst/>
          </c:spPr>
          <c:invertIfNegative val="0"/>
          <c:yVal>
            <c:numRef>
              <c:f>'6.Bubble chart'!$C$33</c:f>
              <c:numCache>
                <c:formatCode>0.000</c:formatCode>
                <c:ptCount val="1"/>
                <c:pt idx="0">
                  <c:v>4.3295322065417441</c:v>
                </c:pt>
              </c:numCache>
            </c:numRef>
          </c:yVal>
          <c:bubbleSize>
            <c:numRef>
              <c:f>'6.Bubble chart'!$C$34</c:f>
              <c:numCache>
                <c:formatCode>0.000</c:formatCode>
                <c:ptCount val="1"/>
                <c:pt idx="0">
                  <c:v>4.6542540557156933</c:v>
                </c:pt>
              </c:numCache>
            </c:numRef>
          </c:bubbleSize>
          <c:bubble3D val="0"/>
          <c:extLst>
            <c:ext xmlns:c16="http://schemas.microsoft.com/office/drawing/2014/chart" uri="{C3380CC4-5D6E-409C-BE32-E72D297353CC}">
              <c16:uniqueId val="{00000003-4D82-494D-AD3F-9F7E3D7E5A6A}"/>
            </c:ext>
          </c:extLst>
        </c:ser>
        <c:ser>
          <c:idx val="4"/>
          <c:order val="4"/>
          <c:tx>
            <c:strRef>
              <c:f>'6.Bubble chart'!$B$35</c:f>
              <c:strCache>
                <c:ptCount val="1"/>
                <c:pt idx="0">
                  <c:v>Lake Union</c:v>
                </c:pt>
              </c:strCache>
            </c:strRef>
          </c:tx>
          <c:spPr>
            <a:solidFill>
              <a:schemeClr val="accent5">
                <a:alpha val="75000"/>
              </a:schemeClr>
            </a:solidFill>
            <a:ln w="25400">
              <a:noFill/>
            </a:ln>
            <a:effectLst/>
          </c:spPr>
          <c:invertIfNegative val="0"/>
          <c:yVal>
            <c:numRef>
              <c:f>'6.Bubble chart'!$C$35</c:f>
              <c:numCache>
                <c:formatCode>0.000</c:formatCode>
                <c:ptCount val="1"/>
                <c:pt idx="0">
                  <c:v>2.4816170237294441</c:v>
                </c:pt>
              </c:numCache>
            </c:numRef>
          </c:yVal>
          <c:bubbleSize>
            <c:numRef>
              <c:f>'6.Bubble chart'!$C$36</c:f>
              <c:numCache>
                <c:formatCode>0.000</c:formatCode>
                <c:ptCount val="1"/>
                <c:pt idx="0">
                  <c:v>2.3191997278213528</c:v>
                </c:pt>
              </c:numCache>
            </c:numRef>
          </c:bubbleSize>
          <c:bubble3D val="0"/>
          <c:extLst>
            <c:ext xmlns:c16="http://schemas.microsoft.com/office/drawing/2014/chart" uri="{C3380CC4-5D6E-409C-BE32-E72D297353CC}">
              <c16:uniqueId val="{00000004-4D82-494D-AD3F-9F7E3D7E5A6A}"/>
            </c:ext>
          </c:extLst>
        </c:ser>
        <c:ser>
          <c:idx val="5"/>
          <c:order val="5"/>
          <c:tx>
            <c:strRef>
              <c:f>'6.Bubble chart'!$B$37</c:f>
              <c:strCache>
                <c:ptCount val="1"/>
                <c:pt idx="0">
                  <c:v>Manufacturing Industrial</c:v>
                </c:pt>
              </c:strCache>
            </c:strRef>
          </c:tx>
          <c:spPr>
            <a:solidFill>
              <a:schemeClr val="accent6">
                <a:alpha val="75000"/>
              </a:schemeClr>
            </a:solidFill>
            <a:ln w="25400">
              <a:noFill/>
            </a:ln>
            <a:effectLst/>
          </c:spPr>
          <c:invertIfNegative val="0"/>
          <c:yVal>
            <c:numRef>
              <c:f>'6.Bubble chart'!$C$37</c:f>
              <c:numCache>
                <c:formatCode>0.000</c:formatCode>
                <c:ptCount val="1"/>
                <c:pt idx="0">
                  <c:v>0.78251599147121531</c:v>
                </c:pt>
              </c:numCache>
            </c:numRef>
          </c:yVal>
          <c:bubbleSize>
            <c:numLit>
              <c:formatCode>General</c:formatCode>
              <c:ptCount val="1"/>
              <c:pt idx="0">
                <c:v>1</c:v>
              </c:pt>
            </c:numLit>
          </c:bubbleSize>
          <c:bubble3D val="0"/>
          <c:extLst>
            <c:ext xmlns:c16="http://schemas.microsoft.com/office/drawing/2014/chart" uri="{C3380CC4-5D6E-409C-BE32-E72D297353CC}">
              <c16:uniqueId val="{00000005-4D82-494D-AD3F-9F7E3D7E5A6A}"/>
            </c:ext>
          </c:extLst>
        </c:ser>
        <c:dLbls>
          <c:showLegendKey val="0"/>
          <c:showVal val="0"/>
          <c:showCatName val="0"/>
          <c:showSerName val="0"/>
          <c:showPercent val="0"/>
          <c:showBubbleSize val="0"/>
        </c:dLbls>
        <c:bubbleScale val="100"/>
        <c:showNegBubbles val="0"/>
        <c:axId val="636760896"/>
        <c:axId val="636767136"/>
        <c:extLst>
          <c:ext xmlns:c15="http://schemas.microsoft.com/office/drawing/2012/chart" uri="{02D57815-91ED-43cb-92C2-25804820EDAC}">
            <c15:filteredBubbleSeries>
              <c15:ser>
                <c:idx val="0"/>
                <c:order val="0"/>
                <c:tx>
                  <c:strRef>
                    <c:extLst>
                      <c:ext uri="{02D57815-91ED-43cb-92C2-25804820EDAC}">
                        <c15:formulaRef>
                          <c15:sqref>'6.Bubble chart'!$B$27</c15:sqref>
                        </c15:formulaRef>
                      </c:ext>
                    </c:extLst>
                    <c:strCache>
                      <c:ptCount val="1"/>
                      <c:pt idx="0">
                        <c:v>Row Labels</c:v>
                      </c:pt>
                    </c:strCache>
                  </c:strRef>
                </c:tx>
                <c:spPr>
                  <a:solidFill>
                    <a:schemeClr val="accent1">
                      <a:alpha val="75000"/>
                    </a:schemeClr>
                  </a:solidFill>
                  <a:ln>
                    <a:noFill/>
                  </a:ln>
                  <a:effectLst/>
                </c:spPr>
                <c:invertIfNegative val="0"/>
                <c:yVal>
                  <c:numRef>
                    <c:extLst>
                      <c:ext uri="{02D57815-91ED-43cb-92C2-25804820EDAC}">
                        <c15:formulaRef>
                          <c15:sqref>'6.Bubble chart'!$C$27</c15:sqref>
                        </c15:formulaRef>
                      </c:ext>
                    </c:extLst>
                    <c:numCache>
                      <c:formatCode>General</c:formatCode>
                      <c:ptCount val="1"/>
                      <c:pt idx="0">
                        <c:v>0</c:v>
                      </c:pt>
                    </c:numCache>
                  </c:numRef>
                </c:yVal>
                <c:bubbleSize>
                  <c:numRef>
                    <c:extLst>
                      <c:ext uri="{02D57815-91ED-43cb-92C2-25804820EDAC}">
                        <c15:formulaRef>
                          <c15:sqref>'6.Bubble chart'!$C$28</c15:sqref>
                        </c15:formulaRef>
                      </c:ext>
                    </c:extLst>
                    <c:numCache>
                      <c:formatCode>0.000</c:formatCode>
                      <c:ptCount val="1"/>
                      <c:pt idx="0">
                        <c:v>3.102577381365303</c:v>
                      </c:pt>
                    </c:numCache>
                  </c:numRef>
                </c:bubbleSize>
                <c:bubble3D val="0"/>
                <c:extLst>
                  <c:ext xmlns:c16="http://schemas.microsoft.com/office/drawing/2014/chart" uri="{C3380CC4-5D6E-409C-BE32-E72D297353CC}">
                    <c16:uniqueId val="{00000000-4D82-494D-AD3F-9F7E3D7E5A6A}"/>
                  </c:ext>
                </c:extLst>
              </c15:ser>
            </c15:filteredBubbleSeries>
          </c:ext>
        </c:extLst>
      </c:bubbleChart>
      <c:valAx>
        <c:axId val="63676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Neighborhood Subtype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67136"/>
        <c:crosses val="autoZero"/>
        <c:crossBetween val="midCat"/>
      </c:valAx>
      <c:valAx>
        <c:axId val="636767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Laborforce participation</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7608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Employment vs Labor Force Participation Across Seattle Neighborhoods (16+)</a:t>
            </a:r>
            <a:endParaRPr lang="en-US"/>
          </a:p>
        </c:rich>
      </c:tx>
      <c:layout>
        <c:manualLayout>
          <c:xMode val="edge"/>
          <c:yMode val="edge"/>
          <c:x val="1.7734289534459709E-2"/>
          <c:y val="1.8844221105527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'7.Line Chart'!$C$32</c:f>
              <c:strCache>
                <c:ptCount val="1"/>
                <c:pt idx="0">
                  <c:v>Employment 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'7.Line Chart'!$B$33:$B$51</c:f>
              <c:strCache>
                <c:ptCount val="10"/>
                <c:pt idx="0">
                  <c:v>Ballard</c:v>
                </c:pt>
                <c:pt idx="1">
                  <c:v>Hub Urban Village</c:v>
                </c:pt>
                <c:pt idx="2">
                  <c:v>Lake Union</c:v>
                </c:pt>
                <c:pt idx="3">
                  <c:v>Magnolia/Queen Anne</c:v>
                </c:pt>
                <c:pt idx="4">
                  <c:v>Manufacturing Industrial</c:v>
                </c:pt>
                <c:pt idx="5">
                  <c:v>Northwest</c:v>
                </c:pt>
                <c:pt idx="6">
                  <c:v>Outside Villages</c:v>
                </c:pt>
                <c:pt idx="7">
                  <c:v>Residential Urban Village</c:v>
                </c:pt>
                <c:pt idx="8">
                  <c:v>Unknown</c:v>
                </c:pt>
                <c:pt idx="9">
                  <c:v>Urban Center</c:v>
                </c:pt>
              </c:strCache>
            </c:strRef>
          </c:cat>
          <c:val>
            <c:numRef>
              <c:f>'7.Line Chart'!$C$33:$C$51</c:f>
              <c:numCache>
                <c:formatCode>0.00</c:formatCode>
                <c:ptCount val="10"/>
                <c:pt idx="0">
                  <c:v>0.74448398789707648</c:v>
                </c:pt>
                <c:pt idx="1">
                  <c:v>0.7441233182574245</c:v>
                </c:pt>
                <c:pt idx="2">
                  <c:v>0.79379756482436459</c:v>
                </c:pt>
                <c:pt idx="3">
                  <c:v>0.74893446588023693</c:v>
                </c:pt>
                <c:pt idx="4">
                  <c:v>0.78251599147121531</c:v>
                </c:pt>
                <c:pt idx="5">
                  <c:v>0.71745198679885558</c:v>
                </c:pt>
                <c:pt idx="6">
                  <c:v>0.69968543289725116</c:v>
                </c:pt>
                <c:pt idx="7">
                  <c:v>0.73130785719225022</c:v>
                </c:pt>
                <c:pt idx="8">
                  <c:v>0.70731660839433086</c:v>
                </c:pt>
                <c:pt idx="9">
                  <c:v>0.70068584527822309</c:v>
                </c:pt>
              </c:numCache>
            </c:numRef>
          </c:val>
          <c:smooth val="0"/>
          <c:extLst>
            <c:ext xmlns:c16="http://schemas.microsoft.com/office/drawing/2014/chart" uri="{C3380CC4-5D6E-409C-BE32-E72D297353CC}">
              <c16:uniqueId val="{00000000-5EFF-439A-B3ED-22AAE38A517A}"/>
            </c:ext>
          </c:extLst>
        </c:ser>
        <c:ser>
          <c:idx val="1"/>
          <c:order val="1"/>
          <c:tx>
            <c:strRef>
              <c:f>'7.Line Chart'!$D$32</c:f>
              <c:strCache>
                <c:ptCount val="1"/>
                <c:pt idx="0">
                  <c:v>Laborforce participation 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'7.Line Chart'!$B$33:$B$51</c:f>
              <c:strCache>
                <c:ptCount val="10"/>
                <c:pt idx="0">
                  <c:v>Ballard</c:v>
                </c:pt>
                <c:pt idx="1">
                  <c:v>Hub Urban Village</c:v>
                </c:pt>
                <c:pt idx="2">
                  <c:v>Lake Union</c:v>
                </c:pt>
                <c:pt idx="3">
                  <c:v>Magnolia/Queen Anne</c:v>
                </c:pt>
                <c:pt idx="4">
                  <c:v>Manufacturing Industrial</c:v>
                </c:pt>
                <c:pt idx="5">
                  <c:v>Northwest</c:v>
                </c:pt>
                <c:pt idx="6">
                  <c:v>Outside Villages</c:v>
                </c:pt>
                <c:pt idx="7">
                  <c:v>Residential Urban Village</c:v>
                </c:pt>
                <c:pt idx="8">
                  <c:v>Unknown</c:v>
                </c:pt>
                <c:pt idx="9">
                  <c:v>Urban Center</c:v>
                </c:pt>
              </c:strCache>
            </c:strRef>
          </c:cat>
          <c:val>
            <c:numRef>
              <c:f>'7.Line Chart'!$D$33:$D$51</c:f>
              <c:numCache>
                <c:formatCode>0.00</c:formatCode>
                <c:ptCount val="10"/>
                <c:pt idx="0">
                  <c:v>0.77564434534132576</c:v>
                </c:pt>
                <c:pt idx="1">
                  <c:v>0.77570900928594888</c:v>
                </c:pt>
                <c:pt idx="2">
                  <c:v>0.82720567457648142</c:v>
                </c:pt>
                <c:pt idx="3">
                  <c:v>0.77306657594045092</c:v>
                </c:pt>
                <c:pt idx="4">
                  <c:v>0.78251599147121531</c:v>
                </c:pt>
                <c:pt idx="5">
                  <c:v>0.74727885841316177</c:v>
                </c:pt>
                <c:pt idx="6">
                  <c:v>0.72639129795678381</c:v>
                </c:pt>
                <c:pt idx="7">
                  <c:v>0.76465534515566269</c:v>
                </c:pt>
                <c:pt idx="8">
                  <c:v>0.73848762971552184</c:v>
                </c:pt>
                <c:pt idx="9">
                  <c:v>0.74148919061355689</c:v>
                </c:pt>
              </c:numCache>
            </c:numRef>
          </c:val>
          <c:smooth val="0"/>
          <c:extLst>
            <c:ext xmlns:c16="http://schemas.microsoft.com/office/drawing/2014/chart" uri="{C3380CC4-5D6E-409C-BE32-E72D297353CC}">
              <c16:uniqueId val="{00000001-5EFF-439A-B3ED-22AAE38A517A}"/>
            </c:ext>
          </c:extLst>
        </c:ser>
        <c:dLbls>
          <c:dLblPos val="t"/>
          <c:showLegendKey val="0"/>
          <c:showVal val="1"/>
          <c:showCatName val="0"/>
          <c:showSerName val="0"/>
          <c:showPercent val="0"/>
          <c:showBubbleSize val="0"/>
        </c:dLbls>
        <c:marker val="1"/>
        <c:smooth val="0"/>
        <c:axId val="1387519504"/>
        <c:axId val="379334704"/>
      </c:lineChart>
      <c:catAx>
        <c:axId val="138751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Neighborhood</a:t>
                </a:r>
                <a:r>
                  <a:rPr lang="en-US" baseline="0"/>
                  <a:t> Subtype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34704"/>
        <c:crosses val="autoZero"/>
        <c:auto val="1"/>
        <c:lblAlgn val="ctr"/>
        <c:lblOffset val="100"/>
        <c:noMultiLvlLbl val="0"/>
      </c:catAx>
      <c:valAx>
        <c:axId val="379334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Rate (Proportion of Population 16+)</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51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Unemployment and poverty rate By Neighborhood Subtype</a:t>
            </a:r>
          </a:p>
        </c:rich>
      </c:tx>
      <c:layout>
        <c:manualLayout>
          <c:xMode val="edge"/>
          <c:yMode val="edge"/>
          <c:x val="3.2671072365954255E-2"/>
          <c:y val="1.47311563957770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'8.Clusterd Bar Chart'!$B$29</c:f>
              <c:strCache>
                <c:ptCount val="1"/>
                <c:pt idx="0">
                  <c:v>Avg of Unemployment_rate_16+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'8.Clusterd Bar Chart'!$A$30:$A$48</c:f>
              <c:strCache>
                <c:ptCount val="10"/>
                <c:pt idx="0">
                  <c:v>Downtown</c:v>
                </c:pt>
                <c:pt idx="1">
                  <c:v>Urban Center</c:v>
                </c:pt>
                <c:pt idx="2">
                  <c:v>Central</c:v>
                </c:pt>
                <c:pt idx="3">
                  <c:v>North</c:v>
                </c:pt>
                <c:pt idx="4">
                  <c:v>Hub Urban Village</c:v>
                </c:pt>
                <c:pt idx="5">
                  <c:v>Residential Urban Village</c:v>
                </c:pt>
                <c:pt idx="6">
                  <c:v>Northeast</c:v>
                </c:pt>
                <c:pt idx="7">
                  <c:v>Unknown</c:v>
                </c:pt>
                <c:pt idx="8">
                  <c:v>Delridge Neighborhoods</c:v>
                </c:pt>
                <c:pt idx="9">
                  <c:v>East</c:v>
                </c:pt>
              </c:strCache>
            </c:strRef>
          </c:cat>
          <c:val>
            <c:numRef>
              <c:f>'8.Clusterd Bar Chart'!$B$30:$B$48</c:f>
              <c:numCache>
                <c:formatCode>0.00</c:formatCode>
                <c:ptCount val="10"/>
                <c:pt idx="0">
                  <c:v>4.3232185823801485E-2</c:v>
                </c:pt>
                <c:pt idx="1">
                  <c:v>5.5702145069306229E-2</c:v>
                </c:pt>
                <c:pt idx="2">
                  <c:v>5.3077756962968368E-2</c:v>
                </c:pt>
                <c:pt idx="3">
                  <c:v>4.5054048487369137E-2</c:v>
                </c:pt>
                <c:pt idx="4">
                  <c:v>4.1236810252349876E-2</c:v>
                </c:pt>
                <c:pt idx="5">
                  <c:v>4.4241785527275659E-2</c:v>
                </c:pt>
                <c:pt idx="6">
                  <c:v>5.049454599057307E-2</c:v>
                </c:pt>
                <c:pt idx="7">
                  <c:v>4.2238772798940449E-2</c:v>
                </c:pt>
                <c:pt idx="8">
                  <c:v>4.6480852722532578E-2</c:v>
                </c:pt>
                <c:pt idx="9">
                  <c:v>6.9039741397517895E-2</c:v>
                </c:pt>
              </c:numCache>
            </c:numRef>
          </c:val>
          <c:extLst>
            <c:ext xmlns:c16="http://schemas.microsoft.com/office/drawing/2014/chart" uri="{C3380CC4-5D6E-409C-BE32-E72D297353CC}">
              <c16:uniqueId val="{00000000-283B-4E7C-A2DF-DD4A81B6D410}"/>
            </c:ext>
          </c:extLst>
        </c:ser>
        <c:ser>
          <c:idx val="1"/>
          <c:order val="1"/>
          <c:tx>
            <c:strRef>
              <c:f>'8.Clusterd Bar Chart'!$C$29</c:f>
              <c:strCache>
                <c:ptCount val="1"/>
                <c:pt idx="0">
                  <c:v>Avg of Family_poverty_rate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'8.Clusterd Bar Chart'!$A$30:$A$48</c:f>
              <c:strCache>
                <c:ptCount val="10"/>
                <c:pt idx="0">
                  <c:v>Downtown</c:v>
                </c:pt>
                <c:pt idx="1">
                  <c:v>Urban Center</c:v>
                </c:pt>
                <c:pt idx="2">
                  <c:v>Central</c:v>
                </c:pt>
                <c:pt idx="3">
                  <c:v>North</c:v>
                </c:pt>
                <c:pt idx="4">
                  <c:v>Hub Urban Village</c:v>
                </c:pt>
                <c:pt idx="5">
                  <c:v>Residential Urban Village</c:v>
                </c:pt>
                <c:pt idx="6">
                  <c:v>Northeast</c:v>
                </c:pt>
                <c:pt idx="7">
                  <c:v>Unknown</c:v>
                </c:pt>
                <c:pt idx="8">
                  <c:v>Delridge Neighborhoods</c:v>
                </c:pt>
                <c:pt idx="9">
                  <c:v>East</c:v>
                </c:pt>
              </c:strCache>
            </c:strRef>
          </c:cat>
          <c:val>
            <c:numRef>
              <c:f>'8.Clusterd Bar Chart'!$C$30:$C$48</c:f>
              <c:numCache>
                <c:formatCode>0.00</c:formatCode>
                <c:ptCount val="10"/>
                <c:pt idx="0">
                  <c:v>0.14338476729477154</c:v>
                </c:pt>
                <c:pt idx="1">
                  <c:v>0.10617009475189214</c:v>
                </c:pt>
                <c:pt idx="2">
                  <c:v>9.9276168926720407E-2</c:v>
                </c:pt>
                <c:pt idx="3">
                  <c:v>7.2487187700749953E-2</c:v>
                </c:pt>
                <c:pt idx="4">
                  <c:v>7.0793403367025706E-2</c:v>
                </c:pt>
                <c:pt idx="5">
                  <c:v>6.2658970055385219E-2</c:v>
                </c:pt>
                <c:pt idx="6">
                  <c:v>5.0243766543298388E-2</c:v>
                </c:pt>
                <c:pt idx="7">
                  <c:v>4.8107057434190741E-2</c:v>
                </c:pt>
                <c:pt idx="8">
                  <c:v>4.5541760539405438E-2</c:v>
                </c:pt>
                <c:pt idx="9">
                  <c:v>3.5113904742691285E-2</c:v>
                </c:pt>
              </c:numCache>
            </c:numRef>
          </c:val>
          <c:extLst>
            <c:ext xmlns:c16="http://schemas.microsoft.com/office/drawing/2014/chart" uri="{C3380CC4-5D6E-409C-BE32-E72D297353CC}">
              <c16:uniqueId val="{00000001-283B-4E7C-A2DF-DD4A81B6D410}"/>
            </c:ext>
          </c:extLst>
        </c:ser>
        <c:dLbls>
          <c:dLblPos val="outEnd"/>
          <c:showLegendKey val="0"/>
          <c:showVal val="1"/>
          <c:showCatName val="0"/>
          <c:showSerName val="0"/>
          <c:showPercent val="0"/>
          <c:showBubbleSize val="0"/>
        </c:dLbls>
        <c:gapWidth val="219"/>
        <c:axId val="1440058784"/>
        <c:axId val="1440065024"/>
      </c:barChart>
      <c:catAx>
        <c:axId val="1440058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Neighboorhood Subtype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65024"/>
        <c:crosses val="autoZero"/>
        <c:auto val="1"/>
        <c:lblAlgn val="ctr"/>
        <c:lblOffset val="100"/>
        <c:noMultiLvlLbl val="0"/>
      </c:catAx>
      <c:valAx>
        <c:axId val="1440065024"/>
        <c:scaling>
          <c:orientation val="minMax"/>
          <c:max val="0.15000000000000002"/>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058784"/>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Population in Non Labor vs Labor Force</a:t>
            </a:r>
          </a:p>
        </c:rich>
      </c:tx>
      <c:layout>
        <c:manualLayout>
          <c:xMode val="edge"/>
          <c:yMode val="edge"/>
          <c:x val="2.2395005406762411E-2"/>
          <c:y val="1.78305698135855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'9.Clusterd Column Chart'!$C$32</c:f>
              <c:strCache>
                <c:ptCount val="1"/>
                <c:pt idx="0">
                  <c:v>Total Pop_16&amp;more not in labor force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'9.Clusterd Column Chart'!$B$33:$B$51</c:f>
              <c:strCache>
                <c:ptCount val="9"/>
                <c:pt idx="0">
                  <c:v>Outside Villages</c:v>
                </c:pt>
                <c:pt idx="1">
                  <c:v>Urban Center</c:v>
                </c:pt>
                <c:pt idx="2">
                  <c:v>Northeast</c:v>
                </c:pt>
                <c:pt idx="3">
                  <c:v>Residential Urban Village</c:v>
                </c:pt>
                <c:pt idx="4">
                  <c:v>Northwest</c:v>
                </c:pt>
                <c:pt idx="5">
                  <c:v>East</c:v>
                </c:pt>
                <c:pt idx="6">
                  <c:v>Magnolia/Queen Anne</c:v>
                </c:pt>
                <c:pt idx="7">
                  <c:v>Southwest</c:v>
                </c:pt>
                <c:pt idx="8">
                  <c:v>Greater Duwamish</c:v>
                </c:pt>
              </c:strCache>
            </c:strRef>
          </c:cat>
          <c:val>
            <c:numRef>
              <c:f>'9.Clusterd Column Chart'!$C$33:$C$51</c:f>
              <c:numCache>
                <c:formatCode>General</c:formatCode>
                <c:ptCount val="9"/>
                <c:pt idx="0">
                  <c:v>92665</c:v>
                </c:pt>
                <c:pt idx="1">
                  <c:v>39550</c:v>
                </c:pt>
                <c:pt idx="2">
                  <c:v>25887</c:v>
                </c:pt>
                <c:pt idx="3">
                  <c:v>25668</c:v>
                </c:pt>
                <c:pt idx="4">
                  <c:v>17330</c:v>
                </c:pt>
                <c:pt idx="5">
                  <c:v>14380</c:v>
                </c:pt>
                <c:pt idx="6">
                  <c:v>13699</c:v>
                </c:pt>
                <c:pt idx="7">
                  <c:v>13063</c:v>
                </c:pt>
                <c:pt idx="8">
                  <c:v>12727</c:v>
                </c:pt>
              </c:numCache>
            </c:numRef>
          </c:val>
          <c:extLst>
            <c:ext xmlns:c16="http://schemas.microsoft.com/office/drawing/2014/chart" uri="{C3380CC4-5D6E-409C-BE32-E72D297353CC}">
              <c16:uniqueId val="{00000000-C2CD-48E6-AC78-7982558C8BA8}"/>
            </c:ext>
          </c:extLst>
        </c:ser>
        <c:ser>
          <c:idx val="1"/>
          <c:order val="1"/>
          <c:tx>
            <c:strRef>
              <c:f>'9.Clusterd Column Chart'!$D$32</c:f>
              <c:strCache>
                <c:ptCount val="1"/>
                <c:pt idx="0">
                  <c:v>Total Pop_16&amp;morein  civilian labor force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'9.Clusterd Column Chart'!$B$33:$B$51</c:f>
              <c:strCache>
                <c:ptCount val="9"/>
                <c:pt idx="0">
                  <c:v>Outside Villages</c:v>
                </c:pt>
                <c:pt idx="1">
                  <c:v>Urban Center</c:v>
                </c:pt>
                <c:pt idx="2">
                  <c:v>Northeast</c:v>
                </c:pt>
                <c:pt idx="3">
                  <c:v>Residential Urban Village</c:v>
                </c:pt>
                <c:pt idx="4">
                  <c:v>Northwest</c:v>
                </c:pt>
                <c:pt idx="5">
                  <c:v>East</c:v>
                </c:pt>
                <c:pt idx="6">
                  <c:v>Magnolia/Queen Anne</c:v>
                </c:pt>
                <c:pt idx="7">
                  <c:v>Southwest</c:v>
                </c:pt>
                <c:pt idx="8">
                  <c:v>Greater Duwamish</c:v>
                </c:pt>
              </c:strCache>
            </c:strRef>
          </c:cat>
          <c:val>
            <c:numRef>
              <c:f>'9.Clusterd Column Chart'!$D$33:$D$51</c:f>
              <c:numCache>
                <c:formatCode>General</c:formatCode>
                <c:ptCount val="9"/>
                <c:pt idx="0">
                  <c:v>247082</c:v>
                </c:pt>
                <c:pt idx="1">
                  <c:v>111534</c:v>
                </c:pt>
                <c:pt idx="2">
                  <c:v>52019</c:v>
                </c:pt>
                <c:pt idx="3">
                  <c:v>79852</c:v>
                </c:pt>
                <c:pt idx="4">
                  <c:v>52336</c:v>
                </c:pt>
                <c:pt idx="5">
                  <c:v>47153</c:v>
                </c:pt>
                <c:pt idx="6">
                  <c:v>49058</c:v>
                </c:pt>
                <c:pt idx="7">
                  <c:v>35115</c:v>
                </c:pt>
                <c:pt idx="8">
                  <c:v>28847</c:v>
                </c:pt>
              </c:numCache>
            </c:numRef>
          </c:val>
          <c:extLst>
            <c:ext xmlns:c16="http://schemas.microsoft.com/office/drawing/2014/chart" uri="{C3380CC4-5D6E-409C-BE32-E72D297353CC}">
              <c16:uniqueId val="{00000001-C2CD-48E6-AC78-7982558C8BA8}"/>
            </c:ext>
          </c:extLst>
        </c:ser>
        <c:dLbls>
          <c:dLblPos val="outEnd"/>
          <c:showLegendKey val="0"/>
          <c:showVal val="1"/>
          <c:showCatName val="0"/>
          <c:showSerName val="0"/>
          <c:showPercent val="0"/>
          <c:showBubbleSize val="0"/>
        </c:dLbls>
        <c:gapWidth val="219"/>
        <c:overlap val="-27"/>
        <c:axId val="623859632"/>
        <c:axId val="623849552"/>
      </c:barChart>
      <c:catAx>
        <c:axId val="62385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Neighborhood Subtype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49552"/>
        <c:crosses val="autoZero"/>
        <c:auto val="1"/>
        <c:lblAlgn val="ctr"/>
        <c:lblOffset val="100"/>
        <c:noMultiLvlLbl val="0"/>
      </c:catAx>
      <c:valAx>
        <c:axId val="623849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859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[Poverty and Employement in Seattle_Cleaned_data_rohitakhil_submission_final.xlsx]10.Histogram!PivotTable3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Family Poverty Rates</a:t>
            </a:r>
            <a:endParaRPr lang="en-US"/>
          </a:p>
        </c:rich>
      </c:tx>
      <c:layout>
        <c:manualLayout>
          <c:xMode val="edge"/>
          <c:yMode val="edge"/>
          <c:x val="3.858907591404348E-2"/>
          <c:y val="2.3648648648648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'10.Histogram'!$B$3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'10.Histogram'!$A$4:$A$10</c:f>
              <c:strCache>
                <c:ptCount val="6"/>
                <c:pt idx="0">
                  <c:v>0-0.05</c:v>
                </c:pt>
                <c:pt idx="1">
                  <c:v>0.05-0.1</c:v>
                </c:pt>
                <c:pt idx="2">
                  <c:v>0.1-0.15</c:v>
                </c:pt>
                <c:pt idx="3">
                  <c:v>0.15-0.2</c:v>
                </c:pt>
                <c:pt idx="4">
                  <c:v>0.2-0.25</c:v>
                </c:pt>
                <c:pt idx="5">
                  <c:v>0.35-0.4</c:v>
                </c:pt>
              </c:strCache>
            </c:strRef>
          </c:cat>
          <c:val>
            <c:numRef>
              <c:f>'10.Histogram'!$B$4:$B$10</c:f>
              <c:numCache>
                <c:formatCode>General</c:formatCode>
                <c:ptCount val="6"/>
                <c:pt idx="0">
                  <c:v>56</c:v>
                </c:pt>
                <c:pt idx="1">
                  <c:v>16</c:v>
                </c:pt>
                <c:pt idx="2">
                  <c:v>12</c:v>
                </c:pt>
                <c:pt idx="3">
                  <c:v>6</c:v>
                </c:pt>
                <c:pt idx="4">
                  <c:v>1</c:v>
                </c:pt>
                <c:pt idx="5">
                  <c:v>1</c:v>
                </c:pt>
              </c:numCache>
            </c:numRef>
          </c:val>
          <c:extLst>
            <c:ext xmlns:c16="http://schemas.microsoft.com/office/drawing/2014/chart" uri="{C3380CC4-5D6E-409C-BE32-E72D297353CC}">
              <c16:uniqueId val="{00000000-46A5-4C98-9F92-ADC3A55A5C2F}"/>
            </c:ext>
          </c:extLst>
        </c:ser>
        <c:dLbls>
          <c:dLblPos val="outEnd"/>
          <c:showLegendKey val="0"/>
          <c:showVal val="1"/>
          <c:showCatName val="0"/>
          <c:showSerName val="0"/>
          <c:showPercent val="0"/>
          <c:showBubbleSize val="0"/>
        </c:dLbls>
        <c:gapWidth val="0"/>
        <c:overlap val="-27"/>
        <c:axId val="356510048"/>
        <c:axId val="356515328"/>
      </c:barChart>
      <c:catAx>
        <c:axId val="356510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Family Poverty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515328"/>
        <c:crosses val="autoZero"/>
        <c:auto val="1"/>
        <c:lblAlgn val="ctr"/>
        <c:lblOffset val="100"/>
        <c:noMultiLvlLbl val="0"/>
      </c:catAx>
      <c:valAx>
        <c:axId val="35651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Neighborhoods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51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Employment_rate_20_64 vs Family_Poverty_rate</a:t>
            </a:r>
          </a:p>
        </c:rich>
      </c:tx>
      <c:layout>
        <c:manualLayout>
          <c:xMode val="edge"/>
          <c:yMode val="edge"/>
          <c:x val="4.7717578349063983E-2"/>
          <c:y val="2.6615881875525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 &amp; Scatter Plot'!$E$1</c:f>
              <c:strCache>
                <c:ptCount val="1"/>
                <c:pt idx="0">
                  <c:v>Employment_rate_20_64</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3865667816880009E-3"/>
                  <c:y val="8.38094667824316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'Correlation &amp; Scatter Plot'!$D$2:$D$93</c:f>
              <c:numCache>
                <c:formatCode>General</c:formatCode>
                <c:ptCount val="92"/>
                <c:pt idx="0">
                  <c:v>4.1434262948207172E-2</c:v>
                </c:pt>
                <c:pt idx="1">
                  <c:v>4.9099360836722838E-2</c:v>
                </c:pt>
                <c:pt idx="2">
                  <c:v>6.9580218516388723E-2</c:v>
                </c:pt>
                <c:pt idx="3">
                  <c:v>5.8227848101265821E-2</c:v>
                </c:pt>
                <c:pt idx="4">
                  <c:v>1.8350062735257213E-2</c:v>
                </c:pt>
                <c:pt idx="5">
                  <c:v>2.4691358024691357E-2</c:v>
                </c:pt>
                <c:pt idx="6">
                  <c:v>4.8252279635258362E-2</c:v>
                </c:pt>
                <c:pt idx="7">
                  <c:v>4.1287188828172436E-2</c:v>
                </c:pt>
                <c:pt idx="8">
                  <c:v>3.1816830211121021E-2</c:v>
                </c:pt>
                <c:pt idx="9">
                  <c:v>2.6013143483023003E-2</c:v>
                </c:pt>
                <c:pt idx="10">
                  <c:v>1.4015843997562462E-2</c:v>
                </c:pt>
                <c:pt idx="11">
                  <c:v>4.0450121654501216E-2</c:v>
                </c:pt>
                <c:pt idx="12">
                  <c:v>3.474415666456096E-2</c:v>
                </c:pt>
                <c:pt idx="13">
                  <c:v>4.0179751519957708E-2</c:v>
                </c:pt>
                <c:pt idx="14">
                  <c:v>2.0083463745435577E-2</c:v>
                </c:pt>
                <c:pt idx="15">
                  <c:v>2.764797507788162E-2</c:v>
                </c:pt>
                <c:pt idx="16">
                  <c:v>3.1084154662623199E-2</c:v>
                </c:pt>
                <c:pt idx="17">
                  <c:v>1.4450867052023121E-2</c:v>
                </c:pt>
                <c:pt idx="18">
                  <c:v>3.8947368421052633E-2</c:v>
                </c:pt>
                <c:pt idx="19">
                  <c:v>0.37675606641123882</c:v>
                </c:pt>
                <c:pt idx="20">
                  <c:v>3.8237022526934381E-2</c:v>
                </c:pt>
                <c:pt idx="21">
                  <c:v>0.10161623834240621</c:v>
                </c:pt>
                <c:pt idx="22">
                  <c:v>4.7864154948262141E-2</c:v>
                </c:pt>
                <c:pt idx="23">
                  <c:v>3.2287138161382671E-2</c:v>
                </c:pt>
                <c:pt idx="24">
                  <c:v>6.0276266220175803E-2</c:v>
                </c:pt>
                <c:pt idx="25">
                  <c:v>2.5711113009310668E-2</c:v>
                </c:pt>
                <c:pt idx="26">
                  <c:v>3.0757468830863326E-2</c:v>
                </c:pt>
                <c:pt idx="27">
                  <c:v>2.6644915715062535E-2</c:v>
                </c:pt>
                <c:pt idx="28">
                  <c:v>7.2445019404915913E-3</c:v>
                </c:pt>
                <c:pt idx="29">
                  <c:v>2.8751623075496197E-2</c:v>
                </c:pt>
                <c:pt idx="30">
                  <c:v>1.9633086578693275E-2</c:v>
                </c:pt>
                <c:pt idx="31">
                  <c:v>0</c:v>
                </c:pt>
                <c:pt idx="32">
                  <c:v>8.6229652441706994E-2</c:v>
                </c:pt>
                <c:pt idx="33">
                  <c:v>3.6065573770491806E-2</c:v>
                </c:pt>
                <c:pt idx="34">
                  <c:v>4.8743566454738117E-2</c:v>
                </c:pt>
                <c:pt idx="35">
                  <c:v>5.667001003009027E-2</c:v>
                </c:pt>
                <c:pt idx="36">
                  <c:v>0.18</c:v>
                </c:pt>
                <c:pt idx="37">
                  <c:v>0</c:v>
                </c:pt>
                <c:pt idx="38">
                  <c:v>1.1437908496732025E-2</c:v>
                </c:pt>
                <c:pt idx="39">
                  <c:v>0.14346504559270518</c:v>
                </c:pt>
                <c:pt idx="40">
                  <c:v>9.9772209567198178E-2</c:v>
                </c:pt>
                <c:pt idx="41">
                  <c:v>8.7605633802816898E-2</c:v>
                </c:pt>
                <c:pt idx="42">
                  <c:v>0.10091027308192457</c:v>
                </c:pt>
                <c:pt idx="43">
                  <c:v>7.2210526315789475E-2</c:v>
                </c:pt>
                <c:pt idx="44">
                  <c:v>2.6570915619389589E-2</c:v>
                </c:pt>
                <c:pt idx="45">
                  <c:v>0.10302708443972385</c:v>
                </c:pt>
                <c:pt idx="46">
                  <c:v>8.3545918367346941E-2</c:v>
                </c:pt>
                <c:pt idx="47">
                  <c:v>0.172782874617737</c:v>
                </c:pt>
                <c:pt idx="48">
                  <c:v>4.1499713795077275E-2</c:v>
                </c:pt>
                <c:pt idx="49">
                  <c:v>0.10309278350515463</c:v>
                </c:pt>
                <c:pt idx="50">
                  <c:v>4.9318364073777064E-2</c:v>
                </c:pt>
                <c:pt idx="51">
                  <c:v>1.8240343347639486E-2</c:v>
                </c:pt>
                <c:pt idx="52">
                  <c:v>4.9180327868852463E-3</c:v>
                </c:pt>
                <c:pt idx="53">
                  <c:v>0</c:v>
                </c:pt>
                <c:pt idx="54">
                  <c:v>3.9353769676884837E-2</c:v>
                </c:pt>
                <c:pt idx="55">
                  <c:v>0.14924181963288108</c:v>
                </c:pt>
                <c:pt idx="56">
                  <c:v>1.7498713329902212E-2</c:v>
                </c:pt>
                <c:pt idx="57">
                  <c:v>2.0033741037536905E-2</c:v>
                </c:pt>
                <c:pt idx="58">
                  <c:v>2.5090789039286892E-2</c:v>
                </c:pt>
                <c:pt idx="59">
                  <c:v>0.12692793931731985</c:v>
                </c:pt>
                <c:pt idx="60">
                  <c:v>3.2149923623427619E-2</c:v>
                </c:pt>
                <c:pt idx="61">
                  <c:v>5.0529747351263241E-2</c:v>
                </c:pt>
                <c:pt idx="62">
                  <c:v>0</c:v>
                </c:pt>
                <c:pt idx="63">
                  <c:v>3.9010466222645097E-2</c:v>
                </c:pt>
                <c:pt idx="64">
                  <c:v>2.9504741833508957E-2</c:v>
                </c:pt>
                <c:pt idx="65">
                  <c:v>3.5639412997903561E-2</c:v>
                </c:pt>
                <c:pt idx="66">
                  <c:v>0.12081952395299789</c:v>
                </c:pt>
                <c:pt idx="67">
                  <c:v>0.11344019728729964</c:v>
                </c:pt>
                <c:pt idx="68">
                  <c:v>0.15448968209704406</c:v>
                </c:pt>
                <c:pt idx="69">
                  <c:v>1.2345679012345678E-2</c:v>
                </c:pt>
                <c:pt idx="70">
                  <c:v>0.12533692722371967</c:v>
                </c:pt>
                <c:pt idx="71">
                  <c:v>0.12438139227977565</c:v>
                </c:pt>
                <c:pt idx="72">
                  <c:v>1.2508229098090849E-2</c:v>
                </c:pt>
                <c:pt idx="73">
                  <c:v>0.18</c:v>
                </c:pt>
                <c:pt idx="74">
                  <c:v>1.1885895404120444E-2</c:v>
                </c:pt>
                <c:pt idx="75">
                  <c:v>6.1383928571428568E-2</c:v>
                </c:pt>
                <c:pt idx="76">
                  <c:v>0</c:v>
                </c:pt>
                <c:pt idx="77">
                  <c:v>1.7164179104477612E-2</c:v>
                </c:pt>
                <c:pt idx="78">
                  <c:v>0.16017009213323885</c:v>
                </c:pt>
                <c:pt idx="79">
                  <c:v>3.8552787663107949E-2</c:v>
                </c:pt>
                <c:pt idx="80">
                  <c:v>0</c:v>
                </c:pt>
                <c:pt idx="81">
                  <c:v>6.5972222222222224E-2</c:v>
                </c:pt>
                <c:pt idx="82">
                  <c:v>0.20446818844099077</c:v>
                </c:pt>
                <c:pt idx="83">
                  <c:v>5.3264604810996562E-2</c:v>
                </c:pt>
                <c:pt idx="84">
                  <c:v>3.4727919059338253E-2</c:v>
                </c:pt>
                <c:pt idx="85">
                  <c:v>0.11149425287356322</c:v>
                </c:pt>
                <c:pt idx="86">
                  <c:v>4.541895066562255E-2</c:v>
                </c:pt>
                <c:pt idx="87">
                  <c:v>0.18612922347362182</c:v>
                </c:pt>
                <c:pt idx="88">
                  <c:v>6.4859117490696436E-2</c:v>
                </c:pt>
                <c:pt idx="89">
                  <c:v>7.084927314460597E-2</c:v>
                </c:pt>
                <c:pt idx="90">
                  <c:v>6.5295815295815296E-2</c:v>
                </c:pt>
                <c:pt idx="91">
                  <c:v>0</c:v>
                </c:pt>
              </c:numCache>
            </c:numRef>
          </c:xVal>
          <c:yVal>
            <c:numRef>
              <c:f>'Correlation &amp; Scatter Plot'!$E$2:$E$93</c:f>
              <c:numCache>
                <c:formatCode>General</c:formatCode>
                <c:ptCount val="92"/>
                <c:pt idx="0">
                  <c:v>0.82841915241124386</c:v>
                </c:pt>
                <c:pt idx="1">
                  <c:v>0.82799020129939294</c:v>
                </c:pt>
                <c:pt idx="2">
                  <c:v>0.80193652501344814</c:v>
                </c:pt>
                <c:pt idx="3">
                  <c:v>0.83309239059009066</c:v>
                </c:pt>
                <c:pt idx="4">
                  <c:v>0.86058065517776738</c:v>
                </c:pt>
                <c:pt idx="5">
                  <c:v>0.85554400831401389</c:v>
                </c:pt>
                <c:pt idx="6">
                  <c:v>0.81940700808625333</c:v>
                </c:pt>
                <c:pt idx="7">
                  <c:v>0.83489403647116811</c:v>
                </c:pt>
                <c:pt idx="8">
                  <c:v>0.86287228211218714</c:v>
                </c:pt>
                <c:pt idx="9">
                  <c:v>0.84433362667448908</c:v>
                </c:pt>
                <c:pt idx="10">
                  <c:v>0.86873010646471294</c:v>
                </c:pt>
                <c:pt idx="11">
                  <c:v>0.89484334203655358</c:v>
                </c:pt>
                <c:pt idx="12">
                  <c:v>0.83485726251134218</c:v>
                </c:pt>
                <c:pt idx="13">
                  <c:v>0.85466116959532479</c:v>
                </c:pt>
                <c:pt idx="14">
                  <c:v>0.82383683875079672</c:v>
                </c:pt>
                <c:pt idx="15">
                  <c:v>0.87485380116959066</c:v>
                </c:pt>
                <c:pt idx="16">
                  <c:v>0.86495681758701914</c:v>
                </c:pt>
                <c:pt idx="17">
                  <c:v>0.83937512517524537</c:v>
                </c:pt>
                <c:pt idx="18">
                  <c:v>0.73312025569316819</c:v>
                </c:pt>
                <c:pt idx="19">
                  <c:v>0.71331432331651679</c:v>
                </c:pt>
                <c:pt idx="20">
                  <c:v>0.81493714769268566</c:v>
                </c:pt>
                <c:pt idx="21">
                  <c:v>0.8029829341746737</c:v>
                </c:pt>
                <c:pt idx="22">
                  <c:v>0.82850535393806535</c:v>
                </c:pt>
                <c:pt idx="23">
                  <c:v>0.7964355908909545</c:v>
                </c:pt>
                <c:pt idx="24">
                  <c:v>0.81819331272829443</c:v>
                </c:pt>
                <c:pt idx="25">
                  <c:v>0.86012131432923511</c:v>
                </c:pt>
                <c:pt idx="26">
                  <c:v>0.85885458228469702</c:v>
                </c:pt>
                <c:pt idx="27">
                  <c:v>0.81889763779527558</c:v>
                </c:pt>
                <c:pt idx="28">
                  <c:v>0.8486558588138724</c:v>
                </c:pt>
                <c:pt idx="29">
                  <c:v>0.85035499726925179</c:v>
                </c:pt>
                <c:pt idx="30">
                  <c:v>0.84106045081967218</c:v>
                </c:pt>
                <c:pt idx="31">
                  <c:v>0.76976093043290972</c:v>
                </c:pt>
                <c:pt idx="32">
                  <c:v>0.7458081824279007</c:v>
                </c:pt>
                <c:pt idx="33">
                  <c:v>0.87724898432965759</c:v>
                </c:pt>
                <c:pt idx="34">
                  <c:v>0.84430769230769231</c:v>
                </c:pt>
                <c:pt idx="35">
                  <c:v>0.7663461538461539</c:v>
                </c:pt>
                <c:pt idx="36">
                  <c:v>0.77781969068276124</c:v>
                </c:pt>
                <c:pt idx="37">
                  <c:v>0.94013303769401335</c:v>
                </c:pt>
                <c:pt idx="38">
                  <c:v>0.81860075408462507</c:v>
                </c:pt>
                <c:pt idx="39">
                  <c:v>0.73654720372132365</c:v>
                </c:pt>
                <c:pt idx="40">
                  <c:v>0.81213202497769843</c:v>
                </c:pt>
                <c:pt idx="41">
                  <c:v>0.83866481223922118</c:v>
                </c:pt>
                <c:pt idx="42">
                  <c:v>0.78036881646989953</c:v>
                </c:pt>
                <c:pt idx="43">
                  <c:v>0.83398656215005595</c:v>
                </c:pt>
                <c:pt idx="44">
                  <c:v>0.82729278285534191</c:v>
                </c:pt>
                <c:pt idx="45">
                  <c:v>0.84198991891299579</c:v>
                </c:pt>
                <c:pt idx="46">
                  <c:v>0.75895938412529862</c:v>
                </c:pt>
                <c:pt idx="47">
                  <c:v>0.79259513198491605</c:v>
                </c:pt>
                <c:pt idx="48">
                  <c:v>0.82733345155760474</c:v>
                </c:pt>
                <c:pt idx="49">
                  <c:v>0.80955188679245282</c:v>
                </c:pt>
                <c:pt idx="50">
                  <c:v>0.86608674344523406</c:v>
                </c:pt>
                <c:pt idx="51">
                  <c:v>0.85658713692946054</c:v>
                </c:pt>
                <c:pt idx="52">
                  <c:v>0.78242247729998282</c:v>
                </c:pt>
                <c:pt idx="53">
                  <c:v>0.73961806608063052</c:v>
                </c:pt>
                <c:pt idx="54">
                  <c:v>0.82464391292663264</c:v>
                </c:pt>
                <c:pt idx="55">
                  <c:v>0.67331923890063428</c:v>
                </c:pt>
                <c:pt idx="56">
                  <c:v>0.79877754543992274</c:v>
                </c:pt>
                <c:pt idx="57">
                  <c:v>0.84351109883024777</c:v>
                </c:pt>
                <c:pt idx="58">
                  <c:v>0.77337533156498672</c:v>
                </c:pt>
                <c:pt idx="59">
                  <c:v>0.77722251446607049</c:v>
                </c:pt>
                <c:pt idx="60">
                  <c:v>0.82916539881817741</c:v>
                </c:pt>
                <c:pt idx="61">
                  <c:v>0.82648125755743651</c:v>
                </c:pt>
                <c:pt idx="62">
                  <c:v>0.85257189145403001</c:v>
                </c:pt>
                <c:pt idx="63">
                  <c:v>0.83561643835616439</c:v>
                </c:pt>
                <c:pt idx="64">
                  <c:v>0.83886010362694297</c:v>
                </c:pt>
                <c:pt idx="65">
                  <c:v>0.84963589844518794</c:v>
                </c:pt>
                <c:pt idx="66">
                  <c:v>0.80033571128829206</c:v>
                </c:pt>
                <c:pt idx="67">
                  <c:v>0.85185887708649466</c:v>
                </c:pt>
                <c:pt idx="68">
                  <c:v>0.81712415924377391</c:v>
                </c:pt>
                <c:pt idx="69">
                  <c:v>0.77868338557993733</c:v>
                </c:pt>
                <c:pt idx="70">
                  <c:v>0.78310502283105021</c:v>
                </c:pt>
                <c:pt idx="71">
                  <c:v>0.76163043478260872</c:v>
                </c:pt>
                <c:pt idx="72">
                  <c:v>0.90710253998118529</c:v>
                </c:pt>
                <c:pt idx="73">
                  <c:v>0.77781969068276124</c:v>
                </c:pt>
                <c:pt idx="74">
                  <c:v>0.84825556956704495</c:v>
                </c:pt>
                <c:pt idx="75">
                  <c:v>0.83929051330287552</c:v>
                </c:pt>
                <c:pt idx="76">
                  <c:v>0.89457831325301207</c:v>
                </c:pt>
                <c:pt idx="77">
                  <c:v>0.8594174054640854</c:v>
                </c:pt>
                <c:pt idx="78">
                  <c:v>0.69595645412130636</c:v>
                </c:pt>
                <c:pt idx="79">
                  <c:v>0.87070399113082042</c:v>
                </c:pt>
                <c:pt idx="80">
                  <c:v>0.85097813578826242</c:v>
                </c:pt>
                <c:pt idx="81">
                  <c:v>0.85987482614742694</c:v>
                </c:pt>
                <c:pt idx="82">
                  <c:v>0.7672323171647395</c:v>
                </c:pt>
                <c:pt idx="83">
                  <c:v>0.89943342776203961</c:v>
                </c:pt>
                <c:pt idx="84">
                  <c:v>0.88442358462892345</c:v>
                </c:pt>
                <c:pt idx="85">
                  <c:v>0.85023369233895552</c:v>
                </c:pt>
                <c:pt idx="86">
                  <c:v>0.86366181410974241</c:v>
                </c:pt>
                <c:pt idx="87">
                  <c:v>0.64299964792864683</c:v>
                </c:pt>
                <c:pt idx="88">
                  <c:v>0.8803983703033047</c:v>
                </c:pt>
                <c:pt idx="89">
                  <c:v>0.81134898710865566</c:v>
                </c:pt>
                <c:pt idx="90">
                  <c:v>0.84800636420616171</c:v>
                </c:pt>
                <c:pt idx="91">
                  <c:v>0.92802056555269918</c:v>
                </c:pt>
              </c:numCache>
            </c:numRef>
          </c:yVal>
          <c:smooth val="0"/>
          <c:extLst>
            <c:ext xmlns:c16="http://schemas.microsoft.com/office/drawing/2014/chart" uri="{C3380CC4-5D6E-409C-BE32-E72D297353CC}">
              <c16:uniqueId val="{00000000-2B99-4211-8423-89932A0A8F44}"/>
            </c:ext>
          </c:extLst>
        </c:ser>
        <c:dLbls>
          <c:showLegendKey val="0"/>
          <c:showVal val="0"/>
          <c:showCatName val="0"/>
          <c:showSerName val="0"/>
          <c:showPercent val="0"/>
          <c:showBubbleSize val="0"/>
        </c:dLbls>
        <c:axId val="1768803696"/>
        <c:axId val="1768807056"/>
      </c:scatterChart>
      <c:valAx>
        <c:axId val="1768803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Family_poverty_rate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07056"/>
        <c:crosses val="autoZero"/>
        <c:crossBetween val="midCat"/>
      </c:valAx>
      <c:valAx>
        <c:axId val="1768807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Employment_rate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036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Top 10 Neighborhoods of population(20-64) below poverty</a:t>
            </a:r>
            <a:endParaRPr lang="en-US"/>
          </a:p>
        </cx:rich>
      </cx:tx>
    </cx:title>
    <cx:plotArea>
      <cx:plotAreaRegion>
        <cx:series layoutId="treemap" uniqueId="{832759C1-C6C7-495D-88FA-6096B29B4CAF}">
          <cx:tx>
            <cx:txData>
              <cx:f>_xlchart.v1.1</cx:f>
              <cx:v>Total Population 20 to 64 years below poverty</cx:v>
            </cx:txData>
          </cx:tx>
          <cx:dataLabels pos="inEnd">
            <cx:numFmt formatCode="#,##0" sourceLinked="0"/>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 Distribution of Poverty rate By Neighborhood Subtype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Distribution of Poverty rate By Neighborhood Subtype</a:t>
          </a:r>
        </a:p>
      </cx:txPr>
    </cx:title>
    <cx:plotArea>
      <cx:plotAreaRegion>
        <cx:series layoutId="boxWhisker" uniqueId="{14A977A2-1F15-4409-B34B-D32C38435B54}">
          <cx:tx>
            <cx:txData>
              <cx:f>_xlchart.v1.4</cx:f>
              <cx:v>Poverty_rate_20_64</cx:v>
            </cx:txData>
          </cx:tx>
          <cx:dataId val="0"/>
          <cx:layoutPr>
            <cx:visibility meanLine="0" meanMarker="1" nonoutliers="0" outliers="1"/>
            <cx:statistics quartileMethod="exclusive"/>
          </cx:layoutPr>
        </cx:series>
      </cx:plotAreaRegion>
      <cx:axis id="0">
        <cx:catScaling gapWidth="1"/>
        <cx:title>
          <cx:tx>
            <cx:txData>
              <cx:v>Neighborhood Subtype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Neighborhood Subtype</a:t>
              </a:r>
            </a:p>
          </cx:txPr>
        </cx:title>
        <cx:tickLabels/>
      </cx:axis>
      <cx:axis id="1">
        <cx:valScaling/>
        <cx:title>
          <cx:tx>
            <cx:txData>
              <cx:v>Poverty Rate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Poverty Rate</a:t>
              </a:r>
            </a:p>
          </cx:txPr>
        </cx:titl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Unemployment rate By Neighborhood Type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Unemployment rate By Neighborhood Type</a:t>
          </a:r>
        </a:p>
      </cx:txPr>
    </cx:title>
    <cx:plotArea>
      <cx:plotAreaRegion>
        <cx:series layoutId="boxWhisker" uniqueId="{628A561A-EE8A-4FC7-997D-AD746AD9C4F3}">
          <cx:tx>
            <cx:txData>
              <cx:f>_xlchart.v1.7</cx:f>
              <cx:v>Unemployment_rate_20_64</cx:v>
            </cx:txData>
          </cx:tx>
          <cx:dataId val="0"/>
          <cx:layoutPr>
            <cx:visibility meanLine="0" meanMarker="1" nonoutliers="0" outliers="1"/>
            <cx:statistics quartileMethod="exclusive"/>
          </cx:layoutPr>
        </cx:series>
      </cx:plotAreaRegion>
      <cx:axis id="0">
        <cx:catScaling gapWidth="1"/>
        <cx:title>
          <cx:tx>
            <cx:txData>
              <cx:v>Neighborhood Type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Neighborhood Type</a:t>
              </a:r>
            </a:p>
          </cx:txPr>
        </cx:title>
        <cx:tickLabels/>
      </cx:axis>
      <cx:axis id="1">
        <cx:valScaling/>
        <cx:title>
          <cx:tx>
            <cx:txData>
              <cx:v>Unemployment Rate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Unemployment Rate</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596900</xdr:colOff>
      <xdr:row>0</xdr:row>
      <xdr:rowOff>171450</xdr:rowOff>
    </xdr:from>
    <xdr:to>
      <xdr:col>11</xdr:col>
      <xdr:colOff>38100</xdr:colOff>
      <xdr:row>19</xdr:row>
      <xdr:rowOff>127000</xdr:rowOff>
    </xdr:to>
    <xdr:sp macro="" textlink="">
      <xdr:nvSpPr>
        <xdr:cNvPr id="2" name="TextBox 1">
          <a:extLst>
            <a:ext uri="{FF2B5EF4-FFF2-40B4-BE49-F238E27FC236}">
              <a16:creationId xmlns:a16="http://schemas.microsoft.com/office/drawing/2014/main" id="{D003DF02-A5F9-4B34-AC5F-B365BB4689DC}"/>
            </a:ext>
          </a:extLst>
        </xdr:cNvPr>
        <xdr:cNvSpPr txBox="1"/>
      </xdr:nvSpPr>
      <xdr:spPr>
        <a:xfrm>
          <a:off x="596900" y="171450"/>
          <a:ext cx="6146800" cy="345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Poverty and Employment Status - Seattle Neighborhoods</a:t>
          </a:r>
        </a:p>
        <a:p>
          <a:endParaRPr lang="en-US" sz="1100"/>
        </a:p>
        <a:p>
          <a:r>
            <a:rPr lang="en-US" sz="1100" b="1" i="0">
              <a:solidFill>
                <a:schemeClr val="dk1"/>
              </a:solidFill>
              <a:effectLst/>
              <a:latin typeface="+mn-lt"/>
              <a:ea typeface="+mn-ea"/>
              <a:cs typeface="+mn-cs"/>
            </a:rPr>
            <a:t>Metadata Updated:</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January 31, 2025</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br>
            <a:rPr lang="en-US"/>
          </a:br>
          <a:r>
            <a:rPr lang="en-US" sz="1100" b="0" i="0">
              <a:solidFill>
                <a:schemeClr val="dk1"/>
              </a:solidFill>
              <a:effectLst/>
              <a:latin typeface="+mn-lt"/>
              <a:ea typeface="+mn-ea"/>
              <a:cs typeface="+mn-cs"/>
            </a:rPr>
            <a:t>Table from the American Community Survey (ACS) 5-year series on poverty and employment status related topics for City of Seattle Council Districts, Comprehensive Plan Growth Areas and Community Reporting Areas. Table includes B23025 Employment Status for the Population 16 years and over, B23024 Poverty Status by Disability Status by Employment Status for the Population 20 to 64 years, B17010 Poverty Status of Families by Family Type by Presence of Related Children under 18 years, C17002 Ratio of Income to Poverty Level in the Past 12 Months. Data is pulled from block group tables for the most recent ACS vintage and summarized to the neighborhoods based on block group assignment.Table created for and used in the Neighborhood Profiles application.Vintages: 2023ACS Table(s): B23025, B23024, B17010, C17002Data downloaded from: Census Bureau's Explore Census Data The United States Census Bureau's American Community Survey (ACS):About the SurveyGeography &amp; ACSTechnical DocumentationNews &amp; UpdatesThis ready-to-use layer can be used within ArcGIS Pro, ArcGIS Online, its configurable apps, dashboards, Story Maps, custom apps, and mobile apps. Data can also be exported for offline workflows. Please cite the Census and ACS when using this data.&lt;d</a:t>
          </a:r>
        </a:p>
        <a:p>
          <a:br>
            <a:rPr lang="en-US" sz="1100"/>
          </a:br>
          <a:r>
            <a:rPr lang="en-US" sz="1100"/>
            <a:t>Link: https://catalog.data.gov/dataset/poverty-and-employment-status-seattle-neighborhoods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812800</xdr:colOff>
      <xdr:row>61</xdr:row>
      <xdr:rowOff>76200</xdr:rowOff>
    </xdr:from>
    <xdr:to>
      <xdr:col>5</xdr:col>
      <xdr:colOff>2870200</xdr:colOff>
      <xdr:row>68</xdr:row>
      <xdr:rowOff>57150</xdr:rowOff>
    </xdr:to>
    <xdr:sp macro="" textlink="">
      <xdr:nvSpPr>
        <xdr:cNvPr id="3" name="TextBox 2">
          <a:extLst>
            <a:ext uri="{FF2B5EF4-FFF2-40B4-BE49-F238E27FC236}">
              <a16:creationId xmlns:a16="http://schemas.microsoft.com/office/drawing/2014/main" id="{19D9E21E-FAD9-AC07-28B0-0DBFB29C09D7}"/>
            </a:ext>
          </a:extLst>
        </xdr:cNvPr>
        <xdr:cNvSpPr txBox="1"/>
      </xdr:nvSpPr>
      <xdr:spPr>
        <a:xfrm>
          <a:off x="3708400" y="11309350"/>
          <a:ext cx="8286750" cy="1270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pivot actually</a:t>
          </a:r>
          <a:r>
            <a:rPr lang="en-US" sz="1100" baseline="0"/>
            <a:t> shows us the population of seattle neighborhoods(16yrs age group) accross neighborhoods. It shows us that the population is about 648k, out of which nearly 74% are in labor force and roughly 4.2% people(16yrs age grp) are unemployed. Based on the pivot analysis, it is clear that big areas have most unemployed people, while small areas also show high unemployment, even though their population is less. For example: Admiral neighborhood has only 1500 people in labor force, but nearly 10% are unemployed. Same goes with Rainier Beach, South Park etc... </a:t>
          </a:r>
          <a:r>
            <a:rPr lang="en-US" sz="1100" b="1" baseline="0"/>
            <a:t>This means that while these areas dont add big number to seattle overall population, a larger share of thier residents are struggling to find work.</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1231900</xdr:colOff>
      <xdr:row>16</xdr:row>
      <xdr:rowOff>171450</xdr:rowOff>
    </xdr:from>
    <xdr:to>
      <xdr:col>5</xdr:col>
      <xdr:colOff>1543050</xdr:colOff>
      <xdr:row>22</xdr:row>
      <xdr:rowOff>88900</xdr:rowOff>
    </xdr:to>
    <xdr:sp macro="" textlink="">
      <xdr:nvSpPr>
        <xdr:cNvPr id="2" name="TextBox 1">
          <a:extLst>
            <a:ext uri="{FF2B5EF4-FFF2-40B4-BE49-F238E27FC236}">
              <a16:creationId xmlns:a16="http://schemas.microsoft.com/office/drawing/2014/main" id="{7BB6B5E1-4A3D-22EC-EA05-BCE1A15A4E25}"/>
            </a:ext>
          </a:extLst>
        </xdr:cNvPr>
        <xdr:cNvSpPr txBox="1"/>
      </xdr:nvSpPr>
      <xdr:spPr>
        <a:xfrm>
          <a:off x="3390900" y="3117850"/>
          <a:ext cx="7429500" cy="10223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pivot shows</a:t>
          </a:r>
          <a:r>
            <a:rPr lang="en-US" sz="1100" baseline="0"/>
            <a:t> us how different parts of Seattle City are doing when it comes to work and poverty. It is clearly visible that Downtown , urban centers and northeast have highest poverty and more unemployed people. Similarly places like lake union and urban villages are doing better in poverty and lower unemployment which is obvious. In short, some areas are struggling with more poverty and jobs, while others are stable.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1612900</xdr:colOff>
      <xdr:row>19</xdr:row>
      <xdr:rowOff>6350</xdr:rowOff>
    </xdr:from>
    <xdr:to>
      <xdr:col>5</xdr:col>
      <xdr:colOff>1447800</xdr:colOff>
      <xdr:row>23</xdr:row>
      <xdr:rowOff>25400</xdr:rowOff>
    </xdr:to>
    <xdr:sp macro="" textlink="">
      <xdr:nvSpPr>
        <xdr:cNvPr id="2" name="TextBox 1">
          <a:extLst>
            <a:ext uri="{FF2B5EF4-FFF2-40B4-BE49-F238E27FC236}">
              <a16:creationId xmlns:a16="http://schemas.microsoft.com/office/drawing/2014/main" id="{268AE52D-EDA6-A620-CFB4-EA24A4A91A78}"/>
            </a:ext>
          </a:extLst>
        </xdr:cNvPr>
        <xdr:cNvSpPr txBox="1"/>
      </xdr:nvSpPr>
      <xdr:spPr>
        <a:xfrm>
          <a:off x="3771900" y="3505200"/>
          <a:ext cx="7905750" cy="7556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pivot</a:t>
          </a:r>
          <a:r>
            <a:rPr lang="en-US" sz="1100" baseline="0"/>
            <a:t> actually shows us most people in Seattle city are financially stable with more than 1.4million falling into 2+ category. But there are also still groups around 96k falling into under 0.50 category. and btw 0.50-0.99 category having 86k people. </a:t>
          </a:r>
          <a:r>
            <a:rPr lang="en-US" b="1"/>
            <a:t>So, while many neighborhoods are doing fine, some still have a lot of families living very close to or below poverty.</a:t>
          </a:r>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162560</xdr:colOff>
      <xdr:row>22</xdr:row>
      <xdr:rowOff>175260</xdr:rowOff>
    </xdr:from>
    <xdr:to>
      <xdr:col>10</xdr:col>
      <xdr:colOff>139700</xdr:colOff>
      <xdr:row>41</xdr:row>
      <xdr:rowOff>132080</xdr:rowOff>
    </xdr:to>
    <xdr:graphicFrame macro="">
      <xdr:nvGraphicFramePr>
        <xdr:cNvPr id="2" name="Chart 1">
          <a:extLst>
            <a:ext uri="{FF2B5EF4-FFF2-40B4-BE49-F238E27FC236}">
              <a16:creationId xmlns:a16="http://schemas.microsoft.com/office/drawing/2014/main" id="{12FAE3A7-6820-D9F1-C43F-21A4FA314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234950</xdr:colOff>
      <xdr:row>43</xdr:row>
      <xdr:rowOff>31750</xdr:rowOff>
    </xdr:from>
    <xdr:to>
      <xdr:col>8</xdr:col>
      <xdr:colOff>228600</xdr:colOff>
      <xdr:row>47</xdr:row>
      <xdr:rowOff>76200</xdr:rowOff>
    </xdr:to>
    <xdr:sp macro="" textlink="">
      <xdr:nvSpPr>
        <xdr:cNvPr id="3" name="TextBox 2">
          <a:extLst>
            <a:ext uri="{FF2B5EF4-FFF2-40B4-BE49-F238E27FC236}">
              <a16:creationId xmlns:a16="http://schemas.microsoft.com/office/drawing/2014/main" id="{EAC631AD-C4BA-DDE9-35FA-BC943202ECE7}"/>
            </a:ext>
          </a:extLst>
        </xdr:cNvPr>
        <xdr:cNvSpPr txBox="1"/>
      </xdr:nvSpPr>
      <xdr:spPr>
        <a:xfrm>
          <a:off x="3282950" y="6477000"/>
          <a:ext cx="6604000" cy="7810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a:t>
          </a:r>
          <a:r>
            <a:rPr lang="en-US" sz="1100" baseline="0"/>
            <a:t> in this Bar chart, we have working age(20-64 yrs) population. Most people live in outside villages. </a:t>
          </a:r>
          <a:r>
            <a:rPr lang="en-US" b="1"/>
            <a:t>In simple words, the city’s working-age population is heavily populated in a few big areas, with some neighborhoods having much fewer people in this age group.</a:t>
          </a:r>
          <a:endParaRPr lang="en-US" sz="11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574040</xdr:colOff>
      <xdr:row>23</xdr:row>
      <xdr:rowOff>16510</xdr:rowOff>
    </xdr:from>
    <xdr:to>
      <xdr:col>4</xdr:col>
      <xdr:colOff>2791460</xdr:colOff>
      <xdr:row>42</xdr:row>
      <xdr:rowOff>85090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DAF0B8C-50BB-E6D7-BCD4-42E3EA5E09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29690" y="2778760"/>
              <a:ext cx="7348220" cy="3567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1073150</xdr:colOff>
      <xdr:row>9</xdr:row>
      <xdr:rowOff>139700</xdr:rowOff>
    </xdr:from>
    <xdr:to>
      <xdr:col>5</xdr:col>
      <xdr:colOff>3124200</xdr:colOff>
      <xdr:row>17</xdr:row>
      <xdr:rowOff>177800</xdr:rowOff>
    </xdr:to>
    <xdr:sp macro="" textlink="">
      <xdr:nvSpPr>
        <xdr:cNvPr id="2" name="TextBox 1">
          <a:extLst>
            <a:ext uri="{FF2B5EF4-FFF2-40B4-BE49-F238E27FC236}">
              <a16:creationId xmlns:a16="http://schemas.microsoft.com/office/drawing/2014/main" id="{FD5A3D93-FC27-8D7D-DADA-D4D7231E5F77}"/>
            </a:ext>
          </a:extLst>
        </xdr:cNvPr>
        <xdr:cNvSpPr txBox="1"/>
      </xdr:nvSpPr>
      <xdr:spPr>
        <a:xfrm>
          <a:off x="6959600" y="1060450"/>
          <a:ext cx="5200650" cy="1143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a:t>
          </a:r>
          <a:r>
            <a:rPr lang="en-US" sz="1100" baseline="0"/>
            <a:t> tree map we can see poverty of Seattle's working age grp(20-64yrs), the biggest numbers are in the outside villages and urban center</a:t>
          </a:r>
          <a:r>
            <a:rPr lang="en-US" sz="1100" b="1" baseline="0"/>
            <a:t>. </a:t>
          </a:r>
          <a:r>
            <a:rPr lang="en-US" b="0"/>
            <a:t>Very few people in poverty live in industrial areas. </a:t>
          </a:r>
          <a:r>
            <a:rPr lang="en-US" b="1"/>
            <a:t>In simple terms, poverty is spread across the city but is most heavily populated in a few large neighborhood types.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464795</xdr:colOff>
      <xdr:row>27</xdr:row>
      <xdr:rowOff>111289</xdr:rowOff>
    </xdr:from>
    <xdr:to>
      <xdr:col>22</xdr:col>
      <xdr:colOff>32732</xdr:colOff>
      <xdr:row>58</xdr:row>
      <xdr:rowOff>6546</xdr:rowOff>
    </xdr:to>
    <xdr:graphicFrame macro="">
      <xdr:nvGraphicFramePr>
        <xdr:cNvPr id="2" name="Chart 1">
          <a:extLst>
            <a:ext uri="{FF2B5EF4-FFF2-40B4-BE49-F238E27FC236}">
              <a16:creationId xmlns:a16="http://schemas.microsoft.com/office/drawing/2014/main" id="{9B40F995-E71F-D1A3-7F61-BB86B0843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31750</xdr:colOff>
      <xdr:row>15</xdr:row>
      <xdr:rowOff>177800</xdr:rowOff>
    </xdr:from>
    <xdr:to>
      <xdr:col>15</xdr:col>
      <xdr:colOff>19050</xdr:colOff>
      <xdr:row>22</xdr:row>
      <xdr:rowOff>177800</xdr:rowOff>
    </xdr:to>
    <xdr:sp macro="" textlink="">
      <xdr:nvSpPr>
        <xdr:cNvPr id="3" name="TextBox 2">
          <a:extLst>
            <a:ext uri="{FF2B5EF4-FFF2-40B4-BE49-F238E27FC236}">
              <a16:creationId xmlns:a16="http://schemas.microsoft.com/office/drawing/2014/main" id="{FD3DE3E2-8CB6-F69D-FA77-3BF3D8E82DFA}"/>
            </a:ext>
          </a:extLst>
        </xdr:cNvPr>
        <xdr:cNvSpPr txBox="1"/>
      </xdr:nvSpPr>
      <xdr:spPr>
        <a:xfrm>
          <a:off x="8870950" y="2940050"/>
          <a:ext cx="5473700" cy="12890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column</a:t>
          </a:r>
          <a:r>
            <a:rPr lang="en-US" sz="1100" baseline="0"/>
            <a:t> chart we can see how many employed and unemployed are there in each neighborhood. Most of seattle city's workers are from outside villages and residental urban villages. In simple words, </a:t>
          </a:r>
          <a:r>
            <a:rPr lang="en-US" b="1"/>
            <a:t>the biggest neighborhoods drive most of the city’s employment numbers and also most of its unemployment</a:t>
          </a:r>
          <a:r>
            <a:rPr lang="en-US"/>
            <a:t>.</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223520</xdr:colOff>
      <xdr:row>9</xdr:row>
      <xdr:rowOff>120650</xdr:rowOff>
    </xdr:from>
    <xdr:to>
      <xdr:col>20</xdr:col>
      <xdr:colOff>421640</xdr:colOff>
      <xdr:row>48</xdr:row>
      <xdr:rowOff>20320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373C436-6BBA-A51F-D422-716ADC40BA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59120" y="488950"/>
              <a:ext cx="10561320" cy="43192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594360</xdr:colOff>
      <xdr:row>0</xdr:row>
      <xdr:rowOff>179070</xdr:rowOff>
    </xdr:from>
    <xdr:to>
      <xdr:col>20</xdr:col>
      <xdr:colOff>518160</xdr:colOff>
      <xdr:row>42</xdr:row>
      <xdr:rowOff>91440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91FB2A3-50DA-B100-1EF6-F18D940E30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4560" y="179070"/>
              <a:ext cx="10287000" cy="43319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480060</xdr:colOff>
      <xdr:row>22</xdr:row>
      <xdr:rowOff>152400</xdr:rowOff>
    </xdr:from>
    <xdr:to>
      <xdr:col>14</xdr:col>
      <xdr:colOff>533400</xdr:colOff>
      <xdr:row>53</xdr:row>
      <xdr:rowOff>99060</xdr:rowOff>
    </xdr:to>
    <xdr:graphicFrame macro="">
      <xdr:nvGraphicFramePr>
        <xdr:cNvPr id="2" name="Chart 1">
          <a:extLst>
            <a:ext uri="{FF2B5EF4-FFF2-40B4-BE49-F238E27FC236}">
              <a16:creationId xmlns:a16="http://schemas.microsoft.com/office/drawing/2014/main" id="{64293D05-E9A4-F3B0-3AE4-9C35F24F2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10</xdr:row>
      <xdr:rowOff>25400</xdr:rowOff>
    </xdr:from>
    <xdr:to>
      <xdr:col>13</xdr:col>
      <xdr:colOff>19050</xdr:colOff>
      <xdr:row>17</xdr:row>
      <xdr:rowOff>177800</xdr:rowOff>
    </xdr:to>
    <xdr:sp macro="" textlink="">
      <xdr:nvSpPr>
        <xdr:cNvPr id="3" name="TextBox 2">
          <a:extLst>
            <a:ext uri="{FF2B5EF4-FFF2-40B4-BE49-F238E27FC236}">
              <a16:creationId xmlns:a16="http://schemas.microsoft.com/office/drawing/2014/main" id="{65CAF16F-EADF-90B7-E91E-3F007C72427C}"/>
            </a:ext>
          </a:extLst>
        </xdr:cNvPr>
        <xdr:cNvSpPr txBox="1"/>
      </xdr:nvSpPr>
      <xdr:spPr>
        <a:xfrm>
          <a:off x="5029200" y="1866900"/>
          <a:ext cx="5486400" cy="14414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bubble</a:t>
          </a:r>
          <a:r>
            <a:rPr lang="en-US" sz="1100" baseline="0"/>
            <a:t> chart we can compare neighborhoods by using three things at once. We can compare employment, unemployment and population size. </a:t>
          </a:r>
          <a:r>
            <a:rPr lang="en-US" b="1"/>
            <a:t>The largest bubbles, like Outside Villages and Residential Urban Villages, stand out because they have the most people and therefore the most workers and unemployed.Medium bubbles such as Lake Union, Northwest, and Northeast are in the middle range, while small neighborhoods are</a:t>
          </a:r>
          <a:r>
            <a:rPr lang="en-US" b="1" baseline="0"/>
            <a:t> shown</a:t>
          </a:r>
          <a:r>
            <a:rPr lang="en-US" b="1"/>
            <a:t> as tiny bubbles.</a:t>
          </a:r>
          <a:r>
            <a:rPr lang="en-US" b="1" baseline="0"/>
            <a:t> In simple words, </a:t>
          </a:r>
          <a:r>
            <a:rPr lang="en-US" b="1"/>
            <a:t>the chart makes it easy to see that most of Seattle’s jobs and unemployment are stacked in just a few big neighborhoods.</a:t>
          </a:r>
          <a:endParaRPr lang="en-US"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341630</xdr:colOff>
      <xdr:row>10</xdr:row>
      <xdr:rowOff>115570</xdr:rowOff>
    </xdr:from>
    <xdr:to>
      <xdr:col>17</xdr:col>
      <xdr:colOff>166370</xdr:colOff>
      <xdr:row>32</xdr:row>
      <xdr:rowOff>107950</xdr:rowOff>
    </xdr:to>
    <xdr:graphicFrame macro="">
      <xdr:nvGraphicFramePr>
        <xdr:cNvPr id="3" name="Chart 2">
          <a:extLst>
            <a:ext uri="{FF2B5EF4-FFF2-40B4-BE49-F238E27FC236}">
              <a16:creationId xmlns:a16="http://schemas.microsoft.com/office/drawing/2014/main" id="{392DF37A-FA45-6BA2-E60F-23684C7A8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406400</xdr:colOff>
      <xdr:row>39</xdr:row>
      <xdr:rowOff>38100</xdr:rowOff>
    </xdr:from>
    <xdr:to>
      <xdr:col>11</xdr:col>
      <xdr:colOff>19050</xdr:colOff>
      <xdr:row>46</xdr:row>
      <xdr:rowOff>114300</xdr:rowOff>
    </xdr:to>
    <xdr:sp macro="" textlink="">
      <xdr:nvSpPr>
        <xdr:cNvPr id="2" name="TextBox 1">
          <a:extLst>
            <a:ext uri="{FF2B5EF4-FFF2-40B4-BE49-F238E27FC236}">
              <a16:creationId xmlns:a16="http://schemas.microsoft.com/office/drawing/2014/main" id="{15943E92-21EA-B204-D91F-F7DB34E7D375}"/>
            </a:ext>
          </a:extLst>
        </xdr:cNvPr>
        <xdr:cNvSpPr txBox="1"/>
      </xdr:nvSpPr>
      <xdr:spPr>
        <a:xfrm>
          <a:off x="7258050" y="6299200"/>
          <a:ext cx="6578600" cy="9969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line chart we can see comparission</a:t>
          </a:r>
          <a:r>
            <a:rPr lang="en-US" sz="1100" baseline="0"/>
            <a:t> between employment and labor force participation in seattle city.</a:t>
          </a:r>
          <a:r>
            <a:rPr lang="en-US"/>
            <a:t>Lake Union and Magnolia show higher engagement</a:t>
          </a:r>
          <a:r>
            <a:rPr lang="en-US" baseline="0"/>
            <a:t> in</a:t>
          </a:r>
          <a:r>
            <a:rPr lang="en-US"/>
            <a:t> both strong employment and participation rates 0.79</a:t>
          </a:r>
          <a:r>
            <a:rPr lang="en-US" baseline="0"/>
            <a:t> and 0.75.</a:t>
          </a:r>
          <a:r>
            <a:rPr lang="en-US" b="1" baseline="0"/>
            <a:t>In simple words, this </a:t>
          </a:r>
          <a:r>
            <a:rPr lang="en-US" b="1"/>
            <a:t>means some parts of the city are strongly connected to jobs, while others have fewer people involved in the workforce</a:t>
          </a:r>
          <a:r>
            <a:rPr lang="en-US"/>
            <a:t>.</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203200</xdr:colOff>
      <xdr:row>19</xdr:row>
      <xdr:rowOff>6350</xdr:rowOff>
    </xdr:from>
    <xdr:to>
      <xdr:col>12</xdr:col>
      <xdr:colOff>584200</xdr:colOff>
      <xdr:row>56</xdr:row>
      <xdr:rowOff>22860</xdr:rowOff>
    </xdr:to>
    <xdr:graphicFrame macro="">
      <xdr:nvGraphicFramePr>
        <xdr:cNvPr id="3" name="Chart 2">
          <a:extLst>
            <a:ext uri="{FF2B5EF4-FFF2-40B4-BE49-F238E27FC236}">
              <a16:creationId xmlns:a16="http://schemas.microsoft.com/office/drawing/2014/main" id="{9B026660-E8AA-CE50-82E5-ACDEB42E9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222250</xdr:colOff>
      <xdr:row>52</xdr:row>
      <xdr:rowOff>38100</xdr:rowOff>
    </xdr:from>
    <xdr:to>
      <xdr:col>3</xdr:col>
      <xdr:colOff>12700</xdr:colOff>
      <xdr:row>57</xdr:row>
      <xdr:rowOff>158750</xdr:rowOff>
    </xdr:to>
    <xdr:sp macro="" textlink="">
      <xdr:nvSpPr>
        <xdr:cNvPr id="2" name="TextBox 1">
          <a:extLst>
            <a:ext uri="{FF2B5EF4-FFF2-40B4-BE49-F238E27FC236}">
              <a16:creationId xmlns:a16="http://schemas.microsoft.com/office/drawing/2014/main" id="{B109D776-1C36-8ABC-3FA5-71E79589DA25}"/>
            </a:ext>
          </a:extLst>
        </xdr:cNvPr>
        <xdr:cNvSpPr txBox="1"/>
      </xdr:nvSpPr>
      <xdr:spPr>
        <a:xfrm>
          <a:off x="222250" y="7956550"/>
          <a:ext cx="5156200" cy="1041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clustered bar chart,</a:t>
          </a:r>
          <a:r>
            <a:rPr lang="en-US" sz="1100" baseline="0"/>
            <a:t> we can see how jobs and poverty look in each neighborhood.</a:t>
          </a:r>
          <a:r>
            <a:rPr lang="en-US" sz="1100" b="1" baseline="0"/>
            <a:t> T</a:t>
          </a:r>
          <a:r>
            <a:rPr lang="en-US" b="1"/>
            <a:t>he chart makes it clear which areas are better and which ones need more support.</a:t>
          </a:r>
          <a:endParaRPr lang="en-US" sz="1100" b="1"/>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288290</xdr:colOff>
      <xdr:row>7</xdr:row>
      <xdr:rowOff>38100</xdr:rowOff>
    </xdr:from>
    <xdr:to>
      <xdr:col>20</xdr:col>
      <xdr:colOff>254000</xdr:colOff>
      <xdr:row>46</xdr:row>
      <xdr:rowOff>95250</xdr:rowOff>
    </xdr:to>
    <xdr:graphicFrame macro="">
      <xdr:nvGraphicFramePr>
        <xdr:cNvPr id="3" name="Chart 2">
          <a:extLst>
            <a:ext uri="{FF2B5EF4-FFF2-40B4-BE49-F238E27FC236}">
              <a16:creationId xmlns:a16="http://schemas.microsoft.com/office/drawing/2014/main" id="{BF85E05B-0B76-95CD-8380-941AF8C69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336550</xdr:colOff>
      <xdr:row>49</xdr:row>
      <xdr:rowOff>44450</xdr:rowOff>
    </xdr:from>
    <xdr:to>
      <xdr:col>15</xdr:col>
      <xdr:colOff>12700</xdr:colOff>
      <xdr:row>54</xdr:row>
      <xdr:rowOff>127000</xdr:rowOff>
    </xdr:to>
    <xdr:sp macro="" textlink="">
      <xdr:nvSpPr>
        <xdr:cNvPr id="2" name="TextBox 1">
          <a:extLst>
            <a:ext uri="{FF2B5EF4-FFF2-40B4-BE49-F238E27FC236}">
              <a16:creationId xmlns:a16="http://schemas.microsoft.com/office/drawing/2014/main" id="{DDA254E5-B2D3-8DEA-CACE-60B545985225}"/>
            </a:ext>
          </a:extLst>
        </xdr:cNvPr>
        <xdr:cNvSpPr txBox="1"/>
      </xdr:nvSpPr>
      <xdr:spPr>
        <a:xfrm>
          <a:off x="7340600" y="7226300"/>
          <a:ext cx="6381750" cy="10033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a:t>
          </a:r>
          <a:r>
            <a:rPr lang="en-US" sz="1100" baseline="0"/>
            <a:t> column chart we can see how many people(16+ age grp) in each neighborhood are working or looking for work versus not in labor force. In simple words, </a:t>
          </a:r>
          <a:r>
            <a:rPr lang="en-US" b="1"/>
            <a:t>most of Seattle’s workers come from a few large neighborhoods, and smaller areas add very little.</a:t>
          </a:r>
          <a:endParaRPr lang="en-US" sz="1100" b="1"/>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558800</xdr:colOff>
      <xdr:row>1</xdr:row>
      <xdr:rowOff>146050</xdr:rowOff>
    </xdr:from>
    <xdr:to>
      <xdr:col>12</xdr:col>
      <xdr:colOff>88900</xdr:colOff>
      <xdr:row>22</xdr:row>
      <xdr:rowOff>38100</xdr:rowOff>
    </xdr:to>
    <xdr:graphicFrame macro="">
      <xdr:nvGraphicFramePr>
        <xdr:cNvPr id="2" name="Chart 1">
          <a:extLst>
            <a:ext uri="{FF2B5EF4-FFF2-40B4-BE49-F238E27FC236}">
              <a16:creationId xmlns:a16="http://schemas.microsoft.com/office/drawing/2014/main" id="{8C9A99AB-52BE-2707-AB45-6C4A78F3E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23</xdr:row>
      <xdr:rowOff>50800</xdr:rowOff>
    </xdr:from>
    <xdr:to>
      <xdr:col>11</xdr:col>
      <xdr:colOff>317500</xdr:colOff>
      <xdr:row>29</xdr:row>
      <xdr:rowOff>6350</xdr:rowOff>
    </xdr:to>
    <xdr:sp macro="" textlink="">
      <xdr:nvSpPr>
        <xdr:cNvPr id="3" name="TextBox 2">
          <a:extLst>
            <a:ext uri="{FF2B5EF4-FFF2-40B4-BE49-F238E27FC236}">
              <a16:creationId xmlns:a16="http://schemas.microsoft.com/office/drawing/2014/main" id="{335069C4-45D4-4FEC-9D48-20981333122E}"/>
            </a:ext>
          </a:extLst>
        </xdr:cNvPr>
        <xdr:cNvSpPr txBox="1"/>
      </xdr:nvSpPr>
      <xdr:spPr>
        <a:xfrm>
          <a:off x="4152900" y="4286250"/>
          <a:ext cx="4889500" cy="10604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histogram, Most neighborhoods have poverty under 5%. </a:t>
          </a:r>
          <a:r>
            <a:rPr lang="en-US"/>
            <a:t>Just one neighborhood has a very high rate around 35–40%. In</a:t>
          </a:r>
          <a:r>
            <a:rPr lang="en-US" baseline="0"/>
            <a:t> simple words,</a:t>
          </a:r>
          <a:r>
            <a:rPr lang="en-US"/>
            <a:t> family poverty is low across most of the city, with only a few areas struggling more.</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12700</xdr:colOff>
      <xdr:row>4</xdr:row>
      <xdr:rowOff>0</xdr:rowOff>
    </xdr:from>
    <xdr:to>
      <xdr:col>13</xdr:col>
      <xdr:colOff>25400</xdr:colOff>
      <xdr:row>9</xdr:row>
      <xdr:rowOff>31750</xdr:rowOff>
    </xdr:to>
    <xdr:sp macro="" textlink="">
      <xdr:nvSpPr>
        <xdr:cNvPr id="2" name="TextBox 1">
          <a:extLst>
            <a:ext uri="{FF2B5EF4-FFF2-40B4-BE49-F238E27FC236}">
              <a16:creationId xmlns:a16="http://schemas.microsoft.com/office/drawing/2014/main" id="{77B1B4F9-66B2-335A-B316-035537795651}"/>
            </a:ext>
          </a:extLst>
        </xdr:cNvPr>
        <xdr:cNvSpPr txBox="1"/>
      </xdr:nvSpPr>
      <xdr:spPr>
        <a:xfrm>
          <a:off x="6032500" y="736600"/>
          <a:ext cx="5556250" cy="952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Employment rate and poverty</a:t>
          </a:r>
          <a:r>
            <a:rPr lang="en-US" sz="1100" baseline="0"/>
            <a:t> rate are strongly negativly correlated, so we can tell that neighborhoods with higher employment rate tend to have lower family poverty.</a:t>
          </a:r>
          <a:endParaRPr lang="en-US" sz="1100"/>
        </a:p>
      </xdr:txBody>
    </xdr:sp>
    <xdr:clientData/>
  </xdr:twoCellAnchor>
  <xdr:twoCellAnchor>
    <xdr:from>
      <xdr:col>6</xdr:col>
      <xdr:colOff>25400</xdr:colOff>
      <xdr:row>10</xdr:row>
      <xdr:rowOff>0</xdr:rowOff>
    </xdr:from>
    <xdr:to>
      <xdr:col>13</xdr:col>
      <xdr:colOff>234950</xdr:colOff>
      <xdr:row>29</xdr:row>
      <xdr:rowOff>12700</xdr:rowOff>
    </xdr:to>
    <xdr:graphicFrame macro="">
      <xdr:nvGraphicFramePr>
        <xdr:cNvPr id="3" name="Chart 2">
          <a:extLst>
            <a:ext uri="{FF2B5EF4-FFF2-40B4-BE49-F238E27FC236}">
              <a16:creationId xmlns:a16="http://schemas.microsoft.com/office/drawing/2014/main" id="{4AFB6592-3252-599D-E1C8-58E519A65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177800</xdr:colOff>
      <xdr:row>30</xdr:row>
      <xdr:rowOff>177800</xdr:rowOff>
    </xdr:from>
    <xdr:to>
      <xdr:col>13</xdr:col>
      <xdr:colOff>50800</xdr:colOff>
      <xdr:row>38</xdr:row>
      <xdr:rowOff>12700</xdr:rowOff>
    </xdr:to>
    <xdr:sp macro="" textlink="">
      <xdr:nvSpPr>
        <xdr:cNvPr id="4" name="TextBox 3">
          <a:extLst>
            <a:ext uri="{FF2B5EF4-FFF2-40B4-BE49-F238E27FC236}">
              <a16:creationId xmlns:a16="http://schemas.microsoft.com/office/drawing/2014/main" id="{EC1398EA-3849-AC37-3436-55F5DF80C8EB}"/>
            </a:ext>
          </a:extLst>
        </xdr:cNvPr>
        <xdr:cNvSpPr txBox="1"/>
      </xdr:nvSpPr>
      <xdr:spPr>
        <a:xfrm>
          <a:off x="6197600" y="5702300"/>
          <a:ext cx="5416550" cy="13081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Depedent</a:t>
          </a:r>
          <a:r>
            <a:rPr lang="en-US" sz="1100" baseline="0"/>
            <a:t> variable: Employment_rate</a:t>
          </a:r>
        </a:p>
        <a:p>
          <a:r>
            <a:rPr lang="en-US" sz="1100" baseline="0"/>
            <a:t>Independent variable: Family_Poverty_rate</a:t>
          </a:r>
          <a:endParaRPr lang="en-US" sz="1100"/>
        </a:p>
        <a:p>
          <a:endParaRPr lang="en-US" sz="1100"/>
        </a:p>
        <a:p>
          <a:r>
            <a:rPr lang="en-US" sz="1100"/>
            <a:t>Here in the scatterplot</a:t>
          </a:r>
          <a:r>
            <a:rPr lang="en-US" sz="1100" baseline="0"/>
            <a:t>, we can see a downward slope, which means a negative relationship</a:t>
          </a:r>
        </a:p>
        <a:p>
          <a:r>
            <a:rPr lang="en-US" sz="1100" baseline="0"/>
            <a:t>and also we can conclude that neighborhoods with higher family poverty tend to have lower employment rate for 20_64 age group.</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603250</xdr:colOff>
      <xdr:row>14</xdr:row>
      <xdr:rowOff>165100</xdr:rowOff>
    </xdr:from>
    <xdr:to>
      <xdr:col>8</xdr:col>
      <xdr:colOff>603250</xdr:colOff>
      <xdr:row>18</xdr:row>
      <xdr:rowOff>177800</xdr:rowOff>
    </xdr:to>
    <xdr:sp macro="" textlink="">
      <xdr:nvSpPr>
        <xdr:cNvPr id="2" name="TextBox 1">
          <a:extLst>
            <a:ext uri="{FF2B5EF4-FFF2-40B4-BE49-F238E27FC236}">
              <a16:creationId xmlns:a16="http://schemas.microsoft.com/office/drawing/2014/main" id="{8E530393-DA28-D0FC-DE83-28E16BCDD11C}"/>
            </a:ext>
          </a:extLst>
        </xdr:cNvPr>
        <xdr:cNvSpPr txBox="1"/>
      </xdr:nvSpPr>
      <xdr:spPr>
        <a:xfrm>
          <a:off x="6623050" y="2743200"/>
          <a:ext cx="5187950" cy="7493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Since</a:t>
          </a:r>
          <a:r>
            <a:rPr lang="en-US" sz="1100" baseline="0"/>
            <a:t> we have very limited sample data for neighborhood subtype, with roughly 3-4 neighborhoods per subtype. Hence we cannot conclude anything from the tests using neighborhood subtype.</a:t>
          </a:r>
        </a:p>
        <a:p>
          <a:endParaRPr lang="en-US" sz="1100" baseline="0"/>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12700</xdr:colOff>
      <xdr:row>15</xdr:row>
      <xdr:rowOff>19050</xdr:rowOff>
    </xdr:from>
    <xdr:to>
      <xdr:col>6</xdr:col>
      <xdr:colOff>19050</xdr:colOff>
      <xdr:row>23</xdr:row>
      <xdr:rowOff>171450</xdr:rowOff>
    </xdr:to>
    <xdr:sp macro="" textlink="">
      <xdr:nvSpPr>
        <xdr:cNvPr id="2" name="TextBox 1">
          <a:extLst>
            <a:ext uri="{FF2B5EF4-FFF2-40B4-BE49-F238E27FC236}">
              <a16:creationId xmlns:a16="http://schemas.microsoft.com/office/drawing/2014/main" id="{9D1B7841-CF50-580E-DDD3-18B968BF1203}"/>
            </a:ext>
          </a:extLst>
        </xdr:cNvPr>
        <xdr:cNvSpPr txBox="1"/>
      </xdr:nvSpPr>
      <xdr:spPr>
        <a:xfrm>
          <a:off x="3549650" y="2794000"/>
          <a:ext cx="5899150" cy="16256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Null Hypothesis:</a:t>
          </a:r>
          <a:r>
            <a:rPr lang="en-US" sz="1100" baseline="0"/>
            <a:t> </a:t>
          </a:r>
          <a:r>
            <a:rPr lang="en-US"/>
            <a:t>mean(Employment 16+) – mean(Employment 20–64) = 0</a:t>
          </a:r>
        </a:p>
        <a:p>
          <a:pPr marL="0" marR="0" lvl="0" indent="0" defTabSz="914400" eaLnBrk="1" fontAlgn="auto" latinLnBrk="0" hangingPunct="1">
            <a:lnSpc>
              <a:spcPct val="100000"/>
            </a:lnSpc>
            <a:spcBef>
              <a:spcPts val="0"/>
            </a:spcBef>
            <a:spcAft>
              <a:spcPts val="0"/>
            </a:spcAft>
            <a:buClrTx/>
            <a:buSzTx/>
            <a:buFontTx/>
            <a:buNone/>
            <a:tabLst/>
            <a:defRPr/>
          </a:pPr>
          <a:r>
            <a:rPr lang="en-US" sz="1100"/>
            <a:t>Alternate</a:t>
          </a:r>
          <a:r>
            <a:rPr lang="en-US" sz="1100" baseline="0"/>
            <a:t> Hypothesis: </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mean(Employment 16+) – mean(Employment 20–64) not</a:t>
          </a:r>
          <a:r>
            <a:rPr lang="en-US" sz="1100" baseline="0">
              <a:solidFill>
                <a:schemeClr val="dk1"/>
              </a:solidFill>
              <a:effectLst/>
              <a:latin typeface="+mn-lt"/>
              <a:ea typeface="+mn-ea"/>
              <a:cs typeface="+mn-cs"/>
            </a:rPr>
            <a:t> equal to</a:t>
          </a:r>
          <a:r>
            <a:rPr lang="en-US" sz="1100">
              <a:solidFill>
                <a:schemeClr val="dk1"/>
              </a:solidFill>
              <a:effectLst/>
              <a:latin typeface="+mn-lt"/>
              <a:ea typeface="+mn-ea"/>
              <a:cs typeface="+mn-cs"/>
            </a:rPr>
            <a:t> 0</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From the above test,</a:t>
          </a:r>
          <a:r>
            <a:rPr lang="en-US" sz="1100" baseline="0">
              <a:solidFill>
                <a:schemeClr val="dk1"/>
              </a:solidFill>
              <a:effectLst/>
              <a:latin typeface="+mn-lt"/>
              <a:ea typeface="+mn-ea"/>
              <a:cs typeface="+mn-cs"/>
            </a:rPr>
            <a:t> it is very clear that p-value is much less than 0.05(Statistically significant). We reject our Null hypothesis in this case, and from the above analysis we can conclude that mean of employment_rate of 20_64 age group is higher than mean of employment_rate of 16+ age group. Hence, there is higher employment in 20_64 age group than 16+ age group accross neighborhood.</a:t>
          </a:r>
          <a:endParaRPr lang="en-US">
            <a:effectLst/>
          </a:endParaRPr>
        </a:p>
        <a:p>
          <a:endParaRPr lang="en-US" sz="1100"/>
        </a:p>
      </xdr:txBody>
    </xdr:sp>
    <xdr:clientData/>
  </xdr:twoCellAnchor>
  <xdr:twoCellAnchor>
    <xdr:from>
      <xdr:col>9</xdr:col>
      <xdr:colOff>596900</xdr:colOff>
      <xdr:row>14</xdr:row>
      <xdr:rowOff>158750</xdr:rowOff>
    </xdr:from>
    <xdr:to>
      <xdr:col>13</xdr:col>
      <xdr:colOff>25400</xdr:colOff>
      <xdr:row>21</xdr:row>
      <xdr:rowOff>165100</xdr:rowOff>
    </xdr:to>
    <xdr:sp macro="" textlink="">
      <xdr:nvSpPr>
        <xdr:cNvPr id="3" name="TextBox 2">
          <a:extLst>
            <a:ext uri="{FF2B5EF4-FFF2-40B4-BE49-F238E27FC236}">
              <a16:creationId xmlns:a16="http://schemas.microsoft.com/office/drawing/2014/main" id="{62D50D86-162C-ABB7-5943-3B7858C9F79D}"/>
            </a:ext>
          </a:extLst>
        </xdr:cNvPr>
        <xdr:cNvSpPr txBox="1"/>
      </xdr:nvSpPr>
      <xdr:spPr>
        <a:xfrm>
          <a:off x="13900150" y="2749550"/>
          <a:ext cx="6254750" cy="12954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Null Hypothesis: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mean(Employment 16+) – mean(Employment 20–64) = 0</a:t>
          </a:r>
          <a:endParaRPr lang="en-US">
            <a:effectLst/>
          </a:endParaRPr>
        </a:p>
        <a:p>
          <a:pPr eaLnBrk="1" fontAlgn="auto" latinLnBrk="0" hangingPunct="1"/>
          <a:r>
            <a:rPr lang="en-US" sz="1100">
              <a:solidFill>
                <a:schemeClr val="dk1"/>
              </a:solidFill>
              <a:effectLst/>
              <a:latin typeface="+mn-lt"/>
              <a:ea typeface="+mn-ea"/>
              <a:cs typeface="+mn-cs"/>
            </a:rPr>
            <a:t>Alternate</a:t>
          </a:r>
          <a:r>
            <a:rPr lang="en-US" sz="1100" baseline="0">
              <a:solidFill>
                <a:schemeClr val="dk1"/>
              </a:solidFill>
              <a:effectLst/>
              <a:latin typeface="+mn-lt"/>
              <a:ea typeface="+mn-ea"/>
              <a:cs typeface="+mn-cs"/>
            </a:rPr>
            <a:t> Hypothesis: </a:t>
          </a: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mean(Employment 16+) – mean(Employment 20–64) not</a:t>
          </a:r>
          <a:r>
            <a:rPr lang="en-US" sz="1100" baseline="0">
              <a:solidFill>
                <a:schemeClr val="dk1"/>
              </a:solidFill>
              <a:effectLst/>
              <a:latin typeface="+mn-lt"/>
              <a:ea typeface="+mn-ea"/>
              <a:cs typeface="+mn-cs"/>
            </a:rPr>
            <a:t> equal to</a:t>
          </a:r>
          <a:r>
            <a:rPr lang="en-US" sz="1100">
              <a:solidFill>
                <a:schemeClr val="dk1"/>
              </a:solidFill>
              <a:effectLst/>
              <a:latin typeface="+mn-lt"/>
              <a:ea typeface="+mn-ea"/>
              <a:cs typeface="+mn-cs"/>
            </a:rPr>
            <a:t> 0</a:t>
          </a:r>
          <a:endParaRPr lang="en-US">
            <a:effectLst/>
          </a:endParaRPr>
        </a:p>
        <a:p>
          <a:endParaRPr lang="en-US" sz="1100"/>
        </a:p>
        <a:p>
          <a:r>
            <a:rPr lang="en-US" sz="1100"/>
            <a:t>From the</a:t>
          </a:r>
          <a:r>
            <a:rPr lang="en-US" sz="1100" baseline="0"/>
            <a:t> above test, it is very clear that p-value is grater than 0.05(Not Stastistically Significant). We fail to reject our null hypothesis. Hence we can conclude that unemployment is basically same for both the age groups(4.3% and 4.1%).</a:t>
          </a:r>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596900</xdr:colOff>
      <xdr:row>14</xdr:row>
      <xdr:rowOff>139700</xdr:rowOff>
    </xdr:from>
    <xdr:to>
      <xdr:col>7</xdr:col>
      <xdr:colOff>19050</xdr:colOff>
      <xdr:row>19</xdr:row>
      <xdr:rowOff>44450</xdr:rowOff>
    </xdr:to>
    <xdr:sp macro="" textlink="">
      <xdr:nvSpPr>
        <xdr:cNvPr id="2" name="TextBox 1">
          <a:extLst>
            <a:ext uri="{FF2B5EF4-FFF2-40B4-BE49-F238E27FC236}">
              <a16:creationId xmlns:a16="http://schemas.microsoft.com/office/drawing/2014/main" id="{CBE712A6-40D2-C6F7-A7AE-BE3CDF0DD8FF}"/>
            </a:ext>
          </a:extLst>
        </xdr:cNvPr>
        <xdr:cNvSpPr txBox="1"/>
      </xdr:nvSpPr>
      <xdr:spPr>
        <a:xfrm>
          <a:off x="2654300" y="2730500"/>
          <a:ext cx="5715000" cy="825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 per our tests, p value is very much</a:t>
          </a:r>
          <a:r>
            <a:rPr lang="en-US" sz="1100" baseline="0"/>
            <a:t> less than 0.05,  hence we reject null hypothesis(equal means), Also from our test it is clear that mean of 16+ age group is higher than 20_64 age group, which in practiacal can be because of the age group containing mostly teens.</a:t>
          </a:r>
          <a:endParaRPr lang="en-US" sz="1100"/>
        </a:p>
      </xdr:txBody>
    </xdr:sp>
    <xdr:clientData/>
  </xdr:twoCellAnchor>
  <xdr:twoCellAnchor>
    <xdr:from>
      <xdr:col>10</xdr:col>
      <xdr:colOff>6350</xdr:colOff>
      <xdr:row>14</xdr:row>
      <xdr:rowOff>177800</xdr:rowOff>
    </xdr:from>
    <xdr:to>
      <xdr:col>13</xdr:col>
      <xdr:colOff>31750</xdr:colOff>
      <xdr:row>22</xdr:row>
      <xdr:rowOff>6350</xdr:rowOff>
    </xdr:to>
    <xdr:sp macro="" textlink="">
      <xdr:nvSpPr>
        <xdr:cNvPr id="3" name="TextBox 2">
          <a:extLst>
            <a:ext uri="{FF2B5EF4-FFF2-40B4-BE49-F238E27FC236}">
              <a16:creationId xmlns:a16="http://schemas.microsoft.com/office/drawing/2014/main" id="{CCAFE784-F36D-A95D-1E09-ECDBCDB3450D}"/>
            </a:ext>
          </a:extLst>
        </xdr:cNvPr>
        <xdr:cNvSpPr txBox="1"/>
      </xdr:nvSpPr>
      <xdr:spPr>
        <a:xfrm>
          <a:off x="12700000" y="2768600"/>
          <a:ext cx="6699250" cy="1301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Based on the test above</a:t>
          </a:r>
          <a:r>
            <a:rPr lang="en-US" sz="1100" baseline="0"/>
            <a:t>, we have a p value much lesser than 0.05, which makes us to reject null hypothesis. On comparing the means of both the age groups it is obvious that labor force participation is more in 20_64 age group, which is in line with the test we did beside this. Hence we can conclude that, age group 20_64 has more labor force participation than 16+ age group.</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ath Reddy Alamuru" refreshedDate="45921.686183796293" createdVersion="8" refreshedVersion="8" minRefreshableVersion="3" recordCount="92" xr:uid="{480C5922-380F-4C1C-8DB2-2DA5D655B96F}">
  <cacheSource type="worksheet">
    <worksheetSource name="Cleandata_table"/>
  </cacheSource>
  <cacheFields count="48">
    <cacheField name="Neighborhood Name" numFmtId="0">
      <sharedItems count="84">
        <s v="Olympic Hills/Victory Heights"/>
        <s v="Cedar Park/Meadowbrook"/>
        <s v="Broadview/Bitter Lake"/>
        <s v="Licton Springs"/>
        <s v="Greenwood/Phinney Ridge"/>
        <s v="Green Lake"/>
        <s v="Haller Lake"/>
        <s v="North Beach/Blue Ridge"/>
        <s v="Whittier Heights"/>
        <s v="Sunset Hill/Loyal Heights"/>
        <s v="Ballard"/>
        <s v="Fremont"/>
        <s v="Wallingford"/>
        <s v="Cascade/Eastlake"/>
        <s v="Magnolia"/>
        <s v="Interbay"/>
        <s v="Queen Anne"/>
        <s v="Belltown"/>
        <s v="Downtown Commercial Core"/>
        <s v="Pioneer Square/International District"/>
        <s v="Council District 1"/>
        <s v="Council District 2"/>
        <s v="Council District 3"/>
        <s v="Council District 4"/>
        <s v="Council District 5"/>
        <s v="Council District 6"/>
        <s v="Council District 7"/>
        <s v="Arbor Heights"/>
        <s v="Fauntleroy/Seaview"/>
        <s v="West Seattle Junction/Genesee Hill"/>
        <s v="Alki/Admiral"/>
        <s v="North Delridge"/>
        <s v="High Point"/>
        <s v="Riverview"/>
        <s v="Roxhill/Westwood"/>
        <s v="Highland Park"/>
        <s v="South Park"/>
        <s v="Georgetown"/>
        <s v="Duwamish/SODO"/>
        <s v="South Beacon Hill/NewHolly"/>
        <s v="Beacon Hill"/>
        <s v="North Beacon Hill/Jefferson Park"/>
        <s v="Rainier Beach"/>
        <s v="Columbia City"/>
        <s v="Seward Park"/>
        <s v="Mt. Baker/North Rainier"/>
        <s v="Madrona/Leschi"/>
        <s v="Judkins Park"/>
        <s v="Central Area/Squire Park"/>
        <s v="First Hill"/>
        <s v="Capitol Hill"/>
        <s v="North Capitol Hill"/>
        <s v="Miller Park"/>
        <s v="Madison Park"/>
        <s v="Montlake/Portage Bay"/>
        <s v="University District"/>
        <s v="Ravenna/Bryant"/>
        <s v="Wedgwood/View Ridge"/>
        <s v="Laurelhurst/Sand Point"/>
        <s v="Northgate/Maple Leaf"/>
        <s v="Outside Villages"/>
        <s v="Aurora-Licton Springs"/>
        <s v="Greenwood-Phinney Ridge"/>
        <s v="Crown Hill"/>
        <s v="Upper Queen Anne"/>
        <s v="Eastlake"/>
        <s v="23rd &amp; Union-Jackson"/>
        <s v="North Beacon Hill"/>
        <s v="Admiral"/>
        <s v="Bitter Lake Village"/>
        <s v="Othello"/>
        <s v="Westwood-Highland Park"/>
        <s v="Madison-Miller"/>
        <s v="Lake City"/>
        <s v="Roosevelt"/>
        <s v="West Seattle Junction"/>
        <s v="Morgan Junction"/>
        <s v="Northgate"/>
        <s v="Mt Baker"/>
        <s v="South Lake Union"/>
        <s v="Uptown"/>
        <s v="Downtown"/>
        <s v="First Hill/Capitol Hill"/>
        <s v="Greater Duwamish"/>
      </sharedItems>
    </cacheField>
    <cacheField name="Neighborhood Type" numFmtId="0">
      <sharedItems count="3">
        <s v="CRA"/>
        <s v="CD"/>
        <s v="UCUV"/>
      </sharedItems>
    </cacheField>
    <cacheField name="Neighborhood Subtype" numFmtId="0">
      <sharedItems count="19">
        <s v="North"/>
        <s v="Northwest"/>
        <s v="Ballard"/>
        <s v="Lake Union"/>
        <s v="Magnolia/Queen Anne"/>
        <s v="Downtown"/>
        <s v="Unknown"/>
        <s v="Southwest"/>
        <s v="Delridge Neighborhoods"/>
        <s v="Greater Duwamish"/>
        <s v="Southeast"/>
        <s v="Central"/>
        <s v="East"/>
        <s v="Northeast"/>
        <s v="Outside Villages"/>
        <s v="Residential Urban Village"/>
        <s v="Hub Urban Village"/>
        <s v="Urban Center"/>
        <s v="Manufacturing Industrial"/>
      </sharedItems>
    </cacheField>
    <cacheField name="Population 16 years and over" numFmtId="2">
      <sharedItems containsSemiMixedTypes="0" containsString="0" containsNumber="1" containsInteger="1" minValue="469" maxValue="340150"/>
    </cacheField>
    <cacheField name="Population 16 years and over not in labor force" numFmtId="2">
      <sharedItems containsSemiMixedTypes="0" containsString="0" containsNumber="1" containsInteger="1" minValue="102" maxValue="92665"/>
    </cacheField>
    <cacheField name="Population 16 years and over in civilian labor force" numFmtId="2">
      <sharedItems containsSemiMixedTypes="0" containsString="0" containsNumber="1" containsInteger="1" minValue="367" maxValue="247082"/>
    </cacheField>
    <cacheField name="Population 16 years and over in civilian labor force unemployed" numFmtId="2">
      <sharedItems containsSemiMixedTypes="0" containsString="0" containsNumber="1" containsInteger="1" minValue="0" maxValue="9084"/>
    </cacheField>
    <cacheField name="Population for whom poverty status is determined" numFmtId="2">
      <sharedItems containsSemiMixedTypes="0" containsString="0" containsNumber="1" containsInteger="1" minValue="497" maxValue="402638"/>
    </cacheField>
    <cacheField name="People with Income to Poverty Ratio Under .50" numFmtId="2">
      <sharedItems containsSemiMixedTypes="0" containsString="0" containsNumber="1" containsInteger="1" minValue="6" maxValue="14775"/>
    </cacheField>
    <cacheField name="People with Income to Poverty .50 to .99" numFmtId="2">
      <sharedItems containsSemiMixedTypes="0" containsString="0" containsNumber="1" containsInteger="1" minValue="15" maxValue="11738"/>
    </cacheField>
    <cacheField name="People with Income to Poverty 1.00 to 1.24" numFmtId="2">
      <sharedItems containsSemiMixedTypes="0" containsString="0" containsNumber="1" containsInteger="1" minValue="0" maxValue="5933"/>
    </cacheField>
    <cacheField name="People with Income to Poverty 1.25 to 1.49" numFmtId="2">
      <sharedItems containsSemiMixedTypes="0" containsString="0" containsNumber="1" containsInteger="1" minValue="0" maxValue="5735"/>
    </cacheField>
    <cacheField name="People with Income to Poverty 1.50 to 1.84" numFmtId="2">
      <sharedItems containsSemiMixedTypes="0" containsString="0" containsNumber="1" containsInteger="1" minValue="21" maxValue="9839"/>
    </cacheField>
    <cacheField name="People with Income to Poverty 1.85 to 1.99" numFmtId="2">
      <sharedItems containsSemiMixedTypes="0" containsString="0" containsNumber="1" containsInteger="1" minValue="0" maxValue="4791"/>
    </cacheField>
    <cacheField name="People with Income to Poverty 2.00 and over" numFmtId="2">
      <sharedItems containsSemiMixedTypes="0" containsString="0" containsNumber="1" containsInteger="1" minValue="393" maxValue="349827"/>
    </cacheField>
    <cacheField name="Families for whom poverty status is determined" numFmtId="2">
      <sharedItems containsSemiMixedTypes="0" containsString="0" containsNumber="1" containsInteger="1" minValue="76" maxValue="97543"/>
    </cacheField>
    <cacheField name="Families with income in the past 12 months below poverty level" numFmtId="2">
      <sharedItems containsSemiMixedTypes="0" containsString="0" containsNumber="1" containsInteger="1" minValue="0" maxValue="3136"/>
    </cacheField>
    <cacheField name="Married-couple family with related children of the householder under 18 years below poverty" numFmtId="2">
      <sharedItems containsSemiMixedTypes="0" containsString="0" containsNumber="1" containsInteger="1" minValue="0" maxValue="528"/>
    </cacheField>
    <cacheField name="Married-couple family without related children of the householder under 18 years below poverty" numFmtId="2">
      <sharedItems containsSemiMixedTypes="0" containsString="0" containsNumber="1" containsInteger="1" minValue="0" maxValue="793"/>
    </cacheField>
    <cacheField name="Single parents with related children of the householder under 18 years below poverty" numFmtId="2">
      <sharedItems containsSemiMixedTypes="0" containsString="0" containsNumber="1" containsInteger="1" minValue="0" maxValue="1209"/>
    </cacheField>
    <cacheField name="Other family below poverty" numFmtId="2">
      <sharedItems containsSemiMixedTypes="0" containsString="0" containsNumber="1" containsInteger="1" minValue="0" maxValue="606"/>
    </cacheField>
    <cacheField name="Population 20 to 64 years for whom poverty status is determined" numFmtId="2">
      <sharedItems containsSemiMixedTypes="0" containsString="0" containsNumber="1" containsInteger="1" minValue="389" maxValue="266199"/>
    </cacheField>
    <cacheField name="Population 20 to 64 years below poverty" numFmtId="2">
      <sharedItems containsSemiMixedTypes="0" containsString="0" containsNumber="1" containsInteger="1" minValue="13" maxValue="17835"/>
    </cacheField>
    <cacheField name="Population 20 to 64 years employed" numFmtId="2">
      <sharedItems containsSemiMixedTypes="0" containsString="0" containsNumber="1" containsInteger="1" minValue="361" maxValue="220723"/>
    </cacheField>
    <cacheField name="Population 20 to 64 years below poverty employed" numFmtId="2">
      <sharedItems containsSemiMixedTypes="0" containsString="0" containsNumber="1" containsInteger="1" minValue="0" maxValue="6877"/>
    </cacheField>
    <cacheField name="People with Income to Poverty below 2.00" numFmtId="2">
      <sharedItems containsSemiMixedTypes="0" containsString="0" containsNumber="1" containsInteger="1" minValue="104" maxValue="52811"/>
    </cacheField>
    <cacheField name="Population 20 to 64 years in civilian labor force" numFmtId="2">
      <sharedItems containsSemiMixedTypes="0" containsString="0" containsNumber="1" containsInteger="1" minValue="361" maxValue="228766"/>
    </cacheField>
    <cacheField name="Population 20 to 64 years in civilian labor force below poverty" numFmtId="2">
      <sharedItems containsSemiMixedTypes="0" containsString="0" containsNumber="1" containsInteger="1" minValue="7" maxValue="9049"/>
    </cacheField>
    <cacheField name="Population 20 to 64 years not in labor force" numFmtId="2">
      <sharedItems containsSemiMixedTypes="0" containsString="0" containsNumber="1" containsInteger="1" minValue="28" maxValue="37097"/>
    </cacheField>
    <cacheField name="Population 20 to 64 years not in labor force below poverty" numFmtId="2">
      <sharedItems containsSemiMixedTypes="0" containsString="0" containsNumber="1" containsInteger="1" minValue="0" maxValue="8786"/>
    </cacheField>
    <cacheField name="Population 20 to 64 years unemployed" numFmtId="2">
      <sharedItems containsSemiMixedTypes="0" containsString="0" containsNumber="1" containsInteger="1" minValue="0" maxValue="8043"/>
    </cacheField>
    <cacheField name="Population 20 to 64 years unemployed below poverty" numFmtId="2">
      <sharedItems containsSemiMixedTypes="0" containsString="0" containsNumber="1" containsInteger="1" minValue="0" maxValue="2172"/>
    </cacheField>
    <cacheField name="Poverty_rate_20_64" numFmtId="2">
      <sharedItems containsSemiMixedTypes="0" containsString="0" containsNumber="1" minValue="2.1824795392543193E-2" maxValue="0.39478934397371201"/>
    </cacheField>
    <cacheField name="Unemployment_rate_20_64" numFmtId="2">
      <sharedItems containsSemiMixedTypes="0" containsString="0" containsNumber="1" minValue="0" maxValue="0.15307185005206525"/>
    </cacheField>
    <cacheField name="Laborforce_participation_20_64" numFmtId="2">
      <sharedItems containsSemiMixedTypes="0" containsString="0" containsNumber="1" minValue="0.66811407111841337" maxValue="0.94678492239467849"/>
    </cacheField>
    <cacheField name="Family_poverty_rate" numFmtId="2">
      <sharedItems containsSemiMixedTypes="0" containsString="0" containsNumber="1" minValue="0" maxValue="0.37675606641123882" count="85">
        <n v="4.1434262948207172E-2"/>
        <n v="4.9099360836722838E-2"/>
        <n v="6.9580218516388723E-2"/>
        <n v="5.8227848101265821E-2"/>
        <n v="1.8350062735257213E-2"/>
        <n v="2.4691358024691357E-2"/>
        <n v="4.8252279635258362E-2"/>
        <n v="4.1287188828172436E-2"/>
        <n v="3.1816830211121021E-2"/>
        <n v="2.6013143483023003E-2"/>
        <n v="1.4015843997562462E-2"/>
        <n v="4.0450121654501216E-2"/>
        <n v="3.474415666456096E-2"/>
        <n v="4.0179751519957708E-2"/>
        <n v="2.0083463745435577E-2"/>
        <n v="2.764797507788162E-2"/>
        <n v="3.1084154662623199E-2"/>
        <n v="1.4450867052023121E-2"/>
        <n v="3.8947368421052633E-2"/>
        <n v="0.37675606641123882"/>
        <n v="3.8237022526934381E-2"/>
        <n v="0.10161623834240621"/>
        <n v="4.7864154948262141E-2"/>
        <n v="3.2287138161382671E-2"/>
        <n v="6.0276266220175803E-2"/>
        <n v="2.5711113009310668E-2"/>
        <n v="3.0757468830863326E-2"/>
        <n v="2.6644915715062535E-2"/>
        <n v="7.2445019404915913E-3"/>
        <n v="2.8751623075496197E-2"/>
        <n v="1.9633086578693275E-2"/>
        <n v="0"/>
        <n v="8.6229652441706994E-2"/>
        <n v="3.6065573770491806E-2"/>
        <n v="4.8743566454738117E-2"/>
        <n v="5.667001003009027E-2"/>
        <n v="0.18"/>
        <n v="1.1437908496732025E-2"/>
        <n v="0.14346504559270518"/>
        <n v="9.9772209567198178E-2"/>
        <n v="8.7605633802816898E-2"/>
        <n v="0.10091027308192457"/>
        <n v="7.2210526315789475E-2"/>
        <n v="2.6570915619389589E-2"/>
        <n v="0.10302708443972385"/>
        <n v="8.3545918367346941E-2"/>
        <n v="0.172782874617737"/>
        <n v="4.1499713795077275E-2"/>
        <n v="0.10309278350515463"/>
        <n v="4.9318364073777064E-2"/>
        <n v="1.8240343347639486E-2"/>
        <n v="4.9180327868852463E-3"/>
        <n v="3.9353769676884837E-2"/>
        <n v="0.14924181963288108"/>
        <n v="1.7498713329902212E-2"/>
        <n v="2.0033741037536905E-2"/>
        <n v="2.5090789039286892E-2"/>
        <n v="0.12692793931731985"/>
        <n v="3.2149923623427619E-2"/>
        <n v="5.0529747351263241E-2"/>
        <n v="3.9010466222645097E-2"/>
        <n v="2.9504741833508957E-2"/>
        <n v="3.5639412997903561E-2"/>
        <n v="0.12081952395299789"/>
        <n v="0.11344019728729964"/>
        <n v="0.15448968209704406"/>
        <n v="1.2345679012345678E-2"/>
        <n v="0.12533692722371967"/>
        <n v="0.12438139227977565"/>
        <n v="1.2508229098090849E-2"/>
        <n v="1.1885895404120444E-2"/>
        <n v="6.1383928571428568E-2"/>
        <n v="1.7164179104477612E-2"/>
        <n v="0.16017009213323885"/>
        <n v="3.8552787663107949E-2"/>
        <n v="6.5972222222222224E-2"/>
        <n v="0.20446818844099077"/>
        <n v="5.3264604810996562E-2"/>
        <n v="3.4727919059338253E-2"/>
        <n v="0.11149425287356322"/>
        <n v="4.541895066562255E-2"/>
        <n v="0.18612922347362182"/>
        <n v="6.4859117490696436E-2"/>
        <n v="7.084927314460597E-2"/>
        <n v="6.5295815295815296E-2"/>
      </sharedItems>
      <fieldGroup base="35">
        <rangePr autoEnd="0" startNum="0" endNum="1" groupInterval="0.05"/>
        <groupItems count="22">
          <s v="&lt;0"/>
          <s v="0-0.05"/>
          <s v="0.05-0.1"/>
          <s v="0.1-0.15"/>
          <s v="0.15-0.2"/>
          <s v="0.2-0.25"/>
          <s v="0.25-0.3"/>
          <s v="0.3-0.35"/>
          <s v="0.35-0.4"/>
          <s v="0.4-0.45"/>
          <s v="0.45-0.5"/>
          <s v="0.5-0.55"/>
          <s v="0.55-0.6"/>
          <s v="0.6-0.65"/>
          <s v="0.65-0.7"/>
          <s v="0.7-0.75"/>
          <s v="0.75-0.8"/>
          <s v="0.8-0.85"/>
          <s v="0.85-0.9"/>
          <s v="0.9-0.95"/>
          <s v="0.95-1"/>
          <s v="&gt;1"/>
        </groupItems>
      </fieldGroup>
    </cacheField>
    <cacheField name="Employment_rate_20_64" numFmtId="2">
      <sharedItems containsSemiMixedTypes="0" containsString="0" containsNumber="1" minValue="0.64299964792864683" maxValue="0.94013303769401335" count="91">
        <n v="0.82841915241124386"/>
        <n v="0.82799020129939294"/>
        <n v="0.80193652501344814"/>
        <n v="0.83309239059009066"/>
        <n v="0.86058065517776738"/>
        <n v="0.85554400831401389"/>
        <n v="0.81940700808625333"/>
        <n v="0.83489403647116811"/>
        <n v="0.86287228211218714"/>
        <n v="0.84433362667448908"/>
        <n v="0.86873010646471294"/>
        <n v="0.89484334203655358"/>
        <n v="0.83485726251134218"/>
        <n v="0.85466116959532479"/>
        <n v="0.82383683875079672"/>
        <n v="0.87485380116959066"/>
        <n v="0.86495681758701914"/>
        <n v="0.83937512517524537"/>
        <n v="0.73312025569316819"/>
        <n v="0.71331432331651679"/>
        <n v="0.81493714769268566"/>
        <n v="0.8029829341746737"/>
        <n v="0.82850535393806535"/>
        <n v="0.7964355908909545"/>
        <n v="0.81819331272829443"/>
        <n v="0.86012131432923511"/>
        <n v="0.85885458228469702"/>
        <n v="0.81889763779527558"/>
        <n v="0.8486558588138724"/>
        <n v="0.85035499726925179"/>
        <n v="0.84106045081967218"/>
        <n v="0.76976093043290972"/>
        <n v="0.7458081824279007"/>
        <n v="0.87724898432965759"/>
        <n v="0.84430769230769231"/>
        <n v="0.7663461538461539"/>
        <n v="0.77781969068276124"/>
        <n v="0.94013303769401335"/>
        <n v="0.81860075408462507"/>
        <n v="0.73654720372132365"/>
        <n v="0.81213202497769843"/>
        <n v="0.83866481223922118"/>
        <n v="0.78036881646989953"/>
        <n v="0.83398656215005595"/>
        <n v="0.82729278285534191"/>
        <n v="0.84198991891299579"/>
        <n v="0.75895938412529862"/>
        <n v="0.79259513198491605"/>
        <n v="0.82733345155760474"/>
        <n v="0.80955188679245282"/>
        <n v="0.86608674344523406"/>
        <n v="0.85658713692946054"/>
        <n v="0.78242247729998282"/>
        <n v="0.73961806608063052"/>
        <n v="0.82464391292663264"/>
        <n v="0.67331923890063428"/>
        <n v="0.79877754543992274"/>
        <n v="0.84351109883024777"/>
        <n v="0.77337533156498672"/>
        <n v="0.77722251446607049"/>
        <n v="0.82916539881817741"/>
        <n v="0.82648125755743651"/>
        <n v="0.85257189145403001"/>
        <n v="0.83561643835616439"/>
        <n v="0.83886010362694297"/>
        <n v="0.84963589844518794"/>
        <n v="0.80033571128829206"/>
        <n v="0.85185887708649466"/>
        <n v="0.81712415924377391"/>
        <n v="0.77868338557993733"/>
        <n v="0.78310502283105021"/>
        <n v="0.76163043478260872"/>
        <n v="0.90710253998118529"/>
        <n v="0.84825556956704495"/>
        <n v="0.83929051330287552"/>
        <n v="0.89457831325301207"/>
        <n v="0.8594174054640854"/>
        <n v="0.69595645412130636"/>
        <n v="0.87070399113082042"/>
        <n v="0.85097813578826242"/>
        <n v="0.85987482614742694"/>
        <n v="0.7672323171647395"/>
        <n v="0.89943342776203961"/>
        <n v="0.88442358462892345"/>
        <n v="0.85023369233895552"/>
        <n v="0.86366181410974241"/>
        <n v="0.64299964792864683"/>
        <n v="0.8803983703033047"/>
        <n v="0.81134898710865566"/>
        <n v="0.84800636420616171"/>
        <n v="0.92802056555269918"/>
      </sharedItems>
    </cacheField>
    <cacheField name="Nilf_share_20_64" numFmtId="2">
      <sharedItems containsSemiMixedTypes="0" containsString="0" containsNumber="1" minValue="5.3215077605321508E-2" maxValue="0.33188592888158669"/>
    </cacheField>
    <cacheField name="Family with related children below poverty" numFmtId="2">
      <sharedItems containsSemiMixedTypes="0" containsString="0" containsNumber="1" minValue="0" maxValue="5.7777777777777775E-2"/>
    </cacheField>
    <cacheField name="Family without related children below poverty" numFmtId="2">
      <sharedItems containsSemiMixedTypes="0" containsString="0" containsNumber="1" minValue="0" maxValue="0.28224776500638571"/>
    </cacheField>
    <cacheField name="Single parents with related children below poverty" numFmtId="2">
      <sharedItems containsSemiMixedTypes="0" containsString="0" containsNumber="1" minValue="0" maxValue="0.147413182140326"/>
    </cacheField>
    <cacheField name="Other families below poverty" numFmtId="2">
      <sharedItems containsSemiMixedTypes="0" containsString="0" containsNumber="1" minValue="0" maxValue="6.6369213608477418E-2"/>
    </cacheField>
    <cacheField name="Unemployment_rate_16+" numFmtId="2">
      <sharedItems containsSemiMixedTypes="0" containsString="0" containsNumber="1" minValue="0" maxValue="0.14636574842349817"/>
    </cacheField>
    <cacheField name="Employment_rate_16+" numFmtId="2">
      <sharedItems containsSemiMixedTypes="0" containsString="0" containsNumber="1" minValue="0.50445261618891502" maxValue="0.84719789842381787"/>
    </cacheField>
    <cacheField name="Laborforce_participation_16+" numFmtId="2">
      <sharedItems containsSemiMixedTypes="0" containsString="0" containsNumber="1" minValue="0.5506623543485003" maxValue="0.87740805604203154"/>
    </cacheField>
    <cacheField name="NILF_share_16+" numFmtId="2">
      <sharedItems containsSemiMixedTypes="0" containsString="0" containsNumber="1" minValue="0.12259194395796848" maxValue="0.4493376456514997"/>
    </cacheField>
    <cacheField name="Key" numFmtId="2">
      <sharedItems/>
    </cacheField>
    <cacheField name="ACS Vinatage" numFmtId="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Akhil Gonthina" refreshedDate="45921.995060532405" createdVersion="8" refreshedVersion="8" minRefreshableVersion="3" recordCount="92" xr:uid="{7C87B857-71F3-4F15-AB83-B4B67848888B}">
  <cacheSource type="worksheet">
    <worksheetSource name="Cleandata_table3"/>
  </cacheSource>
  <cacheFields count="48">
    <cacheField name="Neighborhood Name" numFmtId="0">
      <sharedItems/>
    </cacheField>
    <cacheField name="Neighborhood Type" numFmtId="0">
      <sharedItems/>
    </cacheField>
    <cacheField name="Neighborhood Subtype" numFmtId="0">
      <sharedItems count="19">
        <s v="North"/>
        <s v="Northwest"/>
        <s v="Ballard"/>
        <s v="Lake Union"/>
        <s v="Magnolia/Queen Anne"/>
        <s v="Downtown"/>
        <s v="Unknown"/>
        <s v="Southwest"/>
        <s v="Delridge Neighborhoods"/>
        <s v="Greater Duwamish"/>
        <s v="Southeast"/>
        <s v="Central"/>
        <s v="East"/>
        <s v="Northeast"/>
        <s v="Outside Villages"/>
        <s v="Residential Urban Village"/>
        <s v="Hub Urban Village"/>
        <s v="Urban Center"/>
        <s v="Manufacturing Industrial"/>
      </sharedItems>
    </cacheField>
    <cacheField name="Population 16 years and over" numFmtId="2">
      <sharedItems containsSemiMixedTypes="0" containsString="0" containsNumber="1" containsInteger="1" minValue="469" maxValue="340150"/>
    </cacheField>
    <cacheField name="Population 16 years and over not in labor force" numFmtId="2">
      <sharedItems containsSemiMixedTypes="0" containsString="0" containsNumber="1" containsInteger="1" minValue="102" maxValue="92665"/>
    </cacheField>
    <cacheField name="Population 16 years and over in civilian labor force" numFmtId="2">
      <sharedItems containsSemiMixedTypes="0" containsString="0" containsNumber="1" containsInteger="1" minValue="367" maxValue="247082"/>
    </cacheField>
    <cacheField name="Population 16 years and over in civilian labor force unemployed" numFmtId="2">
      <sharedItems containsSemiMixedTypes="0" containsString="0" containsNumber="1" containsInteger="1" minValue="0" maxValue="9084"/>
    </cacheField>
    <cacheField name="Population for whom poverty status is determined" numFmtId="2">
      <sharedItems containsSemiMixedTypes="0" containsString="0" containsNumber="1" containsInteger="1" minValue="497" maxValue="402638"/>
    </cacheField>
    <cacheField name="People with Income to Poverty Ratio Under .50" numFmtId="2">
      <sharedItems containsSemiMixedTypes="0" containsString="0" containsNumber="1" containsInteger="1" minValue="6" maxValue="14775"/>
    </cacheField>
    <cacheField name="People with Income to Poverty .50 to .99" numFmtId="2">
      <sharedItems containsSemiMixedTypes="0" containsString="0" containsNumber="1" containsInteger="1" minValue="15" maxValue="11738"/>
    </cacheField>
    <cacheField name="People with Income to Poverty 1.00 to 1.24" numFmtId="2">
      <sharedItems containsSemiMixedTypes="0" containsString="0" containsNumber="1" containsInteger="1" minValue="0" maxValue="5933"/>
    </cacheField>
    <cacheField name="People with Income to Poverty 1.25 to 1.49" numFmtId="2">
      <sharedItems containsSemiMixedTypes="0" containsString="0" containsNumber="1" containsInteger="1" minValue="0" maxValue="5735"/>
    </cacheField>
    <cacheField name="People with Income to Poverty 1.50 to 1.84" numFmtId="2">
      <sharedItems containsSemiMixedTypes="0" containsString="0" containsNumber="1" containsInteger="1" minValue="21" maxValue="9839"/>
    </cacheField>
    <cacheField name="People with Income to Poverty 1.85 to 1.99" numFmtId="2">
      <sharedItems containsSemiMixedTypes="0" containsString="0" containsNumber="1" containsInteger="1" minValue="0" maxValue="4791"/>
    </cacheField>
    <cacheField name="People with Income to Poverty 2.00 and over" numFmtId="2">
      <sharedItems containsSemiMixedTypes="0" containsString="0" containsNumber="1" containsInteger="1" minValue="393" maxValue="349827"/>
    </cacheField>
    <cacheField name="Families for whom poverty status is determined" numFmtId="2">
      <sharedItems containsSemiMixedTypes="0" containsString="0" containsNumber="1" containsInteger="1" minValue="76" maxValue="97543"/>
    </cacheField>
    <cacheField name="Families with income in the past 12 months below poverty level" numFmtId="2">
      <sharedItems containsSemiMixedTypes="0" containsString="0" containsNumber="1" containsInteger="1" minValue="0" maxValue="3136"/>
    </cacheField>
    <cacheField name="Married-couple family with related children of the householder under 18 years below poverty" numFmtId="2">
      <sharedItems containsSemiMixedTypes="0" containsString="0" containsNumber="1" containsInteger="1" minValue="0" maxValue="528"/>
    </cacheField>
    <cacheField name="Married-couple family without related children of the householder under 18 years below poverty" numFmtId="2">
      <sharedItems containsSemiMixedTypes="0" containsString="0" containsNumber="1" containsInteger="1" minValue="0" maxValue="793"/>
    </cacheField>
    <cacheField name="Single parents with related children of the householder under 18 years below poverty" numFmtId="2">
      <sharedItems containsSemiMixedTypes="0" containsString="0" containsNumber="1" containsInteger="1" minValue="0" maxValue="1209"/>
    </cacheField>
    <cacheField name="Other family below poverty" numFmtId="2">
      <sharedItems containsSemiMixedTypes="0" containsString="0" containsNumber="1" containsInteger="1" minValue="0" maxValue="606"/>
    </cacheField>
    <cacheField name="Population 20 to 64 years for whom poverty status is determined" numFmtId="2">
      <sharedItems containsSemiMixedTypes="0" containsString="0" containsNumber="1" containsInteger="1" minValue="389" maxValue="266199"/>
    </cacheField>
    <cacheField name="Population 20 to 64 years below poverty" numFmtId="2">
      <sharedItems containsSemiMixedTypes="0" containsString="0" containsNumber="1" containsInteger="1" minValue="13" maxValue="17835"/>
    </cacheField>
    <cacheField name="Population 20 to 64 years employed" numFmtId="2">
      <sharedItems containsSemiMixedTypes="0" containsString="0" containsNumber="1" containsInteger="1" minValue="361" maxValue="220723"/>
    </cacheField>
    <cacheField name="Population 20 to 64 years below poverty employed" numFmtId="2">
      <sharedItems containsSemiMixedTypes="0" containsString="0" containsNumber="1" containsInteger="1" minValue="0" maxValue="6877"/>
    </cacheField>
    <cacheField name="People with Income to Poverty below 2.00" numFmtId="2">
      <sharedItems containsSemiMixedTypes="0" containsString="0" containsNumber="1" containsInteger="1" minValue="104" maxValue="52811"/>
    </cacheField>
    <cacheField name="Population 20 to 64 years in civilian labor force" numFmtId="2">
      <sharedItems containsSemiMixedTypes="0" containsString="0" containsNumber="1" containsInteger="1" minValue="361" maxValue="228766"/>
    </cacheField>
    <cacheField name="Population 20 to 64 years in civilian labor force below poverty" numFmtId="2">
      <sharedItems containsSemiMixedTypes="0" containsString="0" containsNumber="1" containsInteger="1" minValue="7" maxValue="9049"/>
    </cacheField>
    <cacheField name="Population 20 to 64 years not in labor force" numFmtId="2">
      <sharedItems containsSemiMixedTypes="0" containsString="0" containsNumber="1" containsInteger="1" minValue="28" maxValue="37097"/>
    </cacheField>
    <cacheField name="Population 20 to 64 years not in labor force below poverty" numFmtId="2">
      <sharedItems containsSemiMixedTypes="0" containsString="0" containsNumber="1" containsInteger="1" minValue="0" maxValue="8786"/>
    </cacheField>
    <cacheField name="Population 20 to 64 years unemployed" numFmtId="2">
      <sharedItems containsSemiMixedTypes="0" containsString="0" containsNumber="1" containsInteger="1" minValue="0" maxValue="8043"/>
    </cacheField>
    <cacheField name="Population 20 to 64 years unemployed below poverty" numFmtId="2">
      <sharedItems containsSemiMixedTypes="0" containsString="0" containsNumber="1" containsInteger="1" minValue="0" maxValue="2172"/>
    </cacheField>
    <cacheField name="Poverty_rate_20_64" numFmtId="2">
      <sharedItems containsSemiMixedTypes="0" containsString="0" containsNumber="1" minValue="2.1824795392543193E-2" maxValue="0.39478934397371201"/>
    </cacheField>
    <cacheField name="Unemployment_rate_20_64" numFmtId="2">
      <sharedItems containsSemiMixedTypes="0" containsString="0" containsNumber="1" minValue="0" maxValue="0.15307185005206525" count="91">
        <n v="5.1942941465814067E-2"/>
        <n v="2.6424546023794616E-2"/>
        <n v="4.1409465020576131E-2"/>
        <n v="3.9690955915770335E-2"/>
        <n v="2.782812043262204E-2"/>
        <n v="4.4464285714285713E-2"/>
        <n v="4.4626021370207415E-2"/>
        <n v="4.8180924287118974E-2"/>
        <n v="1.7067332708918723E-2"/>
        <n v="2.7918496003602387E-2"/>
        <n v="6.5745986779981114E-2"/>
        <n v="2.8626089421101113E-2"/>
        <n v="3.5714285714285712E-2"/>
        <n v="4.7296091379618065E-2"/>
        <n v="2.1795065839261388E-2"/>
        <n v="3.415893884258716E-2"/>
        <n v="3.3562934563649359E-2"/>
        <n v="2.851182197496523E-2"/>
        <n v="3.4718569174118884E-2"/>
        <n v="6.6322136089577946E-2"/>
        <n v="4.2772861356932153E-2"/>
        <n v="3.3754400496997308E-2"/>
        <n v="5.0206431836069647E-2"/>
        <n v="3.4365369454597575E-2"/>
        <n v="4.2735745163464227E-2"/>
        <n v="3.281897566869045E-2"/>
        <n v="3.6868770306734952E-2"/>
        <n v="2.8685790527018012E-2"/>
        <n v="3.1158486587794305E-2"/>
        <n v="4.2697089766361523E-2"/>
        <n v="2.4074899687917966E-2"/>
        <n v="7.5530263838592862E-2"/>
        <n v="3.9723661485319514E-2"/>
        <n v="2.420916720464816E-2"/>
        <n v="4.0447604615922603E-2"/>
        <n v="3.8600723763570564E-2"/>
        <n v="7.2007200720072009E-2"/>
        <n v="7.0257611241217799E-3"/>
        <n v="6.1028351753964441E-2"/>
        <n v="3.7441282122133185E-2"/>
        <n v="1.7907227615965481E-2"/>
        <n v="2.8672680412371133E-2"/>
        <n v="4.6381304399666153E-2"/>
        <n v="1.7399191885874497E-2"/>
        <n v="2.6696329254727477E-2"/>
        <n v="3.2241813602015112E-2"/>
        <n v="3.3141697666553942E-2"/>
        <n v="7.7414205905826011E-2"/>
        <n v="4.0712816997943796E-2"/>
        <n v="5.9830522982110758E-2"/>
        <n v="5.3216661458100806E-2"/>
        <n v="4.4270833333333336E-2"/>
        <n v="2.9124149659863947E-2"/>
        <n v="0.15307185005206525"/>
        <n v="5.9895833333333336E-2"/>
        <n v="4.4407105136821889E-2"/>
        <n v="2.8750244474867983E-2"/>
        <n v="2.9667302394575122E-2"/>
        <n v="4.0320921621065625E-2"/>
        <n v="4.9125817869784406E-2"/>
        <n v="3.5158196585156884E-2"/>
        <n v="4.2214047994394814E-2"/>
        <n v="3.4403669724770644E-2"/>
        <n v="1.6515926071569011E-2"/>
        <n v="1.0995723885155772E-2"/>
        <n v="6.0909288666521642E-2"/>
        <n v="5.6588840522358526E-2"/>
        <n v="2.4543874891398785E-2"/>
        <n v="1.5549715286903198E-2"/>
        <n v="0.1038961038961039"/>
        <n v="7.2972972972972977E-2"/>
        <n v="3.1379596350566766E-2"/>
        <n v="2.4285352896534277E-2"/>
        <n v="4.1178333861260692E-2"/>
        <n v="4.5829514207149404E-2"/>
        <n v="2.5067144136078783E-2"/>
        <n v="2.8828460437538336E-2"/>
        <n v="8.673469387755102E-2"/>
        <n v="3.0251582034264549E-2"/>
        <n v="4.4882144010332581E-2"/>
        <n v="4.627844195912071E-2"/>
        <n v="4.647256438969765E-2"/>
        <n v="3.2667569397427217E-2"/>
        <n v="4.2553191489361701E-2"/>
        <n v="2.923433874709977E-2"/>
        <n v="4.6367851622874809E-2"/>
        <n v="3.7590022835060598E-2"/>
        <n v="4.9555273189326558E-2"/>
        <n v="4.1506611823095486E-2"/>
        <n v="5.488984416980118E-2"/>
        <n v="0"/>
      </sharedItems>
      <fieldGroup base="33">
        <rangePr startNum="0" endNum="0.15307185005206525" groupInterval="0.05"/>
        <groupItems count="6">
          <s v="&lt;0"/>
          <s v="0-0.05"/>
          <s v="0.05-0.1"/>
          <s v="0.1-0.15"/>
          <s v="0.15-0.2"/>
          <s v="&gt;0.2"/>
        </groupItems>
      </fieldGroup>
    </cacheField>
    <cacheField name="Laborforce_participation_20_64" numFmtId="2">
      <sharedItems containsSemiMixedTypes="0" containsString="0" containsNumber="1" minValue="0.66811407111841337" maxValue="0.94678492239467849"/>
    </cacheField>
    <cacheField name="Family_poverty_rate" numFmtId="2">
      <sharedItems containsSemiMixedTypes="0" containsString="0" containsNumber="1" minValue="0" maxValue="0.37675606641123882" count="85">
        <n v="4.1434262948207172E-2"/>
        <n v="4.9099360836722838E-2"/>
        <n v="6.9580218516388723E-2"/>
        <n v="5.8227848101265821E-2"/>
        <n v="1.8350062735257213E-2"/>
        <n v="2.4691358024691357E-2"/>
        <n v="4.8252279635258362E-2"/>
        <n v="4.1287188828172436E-2"/>
        <n v="3.1816830211121021E-2"/>
        <n v="2.6013143483023003E-2"/>
        <n v="1.4015843997562462E-2"/>
        <n v="4.0450121654501216E-2"/>
        <n v="3.474415666456096E-2"/>
        <n v="4.0179751519957708E-2"/>
        <n v="2.0083463745435577E-2"/>
        <n v="2.764797507788162E-2"/>
        <n v="3.1084154662623199E-2"/>
        <n v="1.4450867052023121E-2"/>
        <n v="3.8947368421052633E-2"/>
        <n v="0.37675606641123882"/>
        <n v="3.8237022526934381E-2"/>
        <n v="0.10161623834240621"/>
        <n v="4.7864154948262141E-2"/>
        <n v="3.2287138161382671E-2"/>
        <n v="6.0276266220175803E-2"/>
        <n v="2.5711113009310668E-2"/>
        <n v="3.0757468830863326E-2"/>
        <n v="2.6644915715062535E-2"/>
        <n v="7.2445019404915913E-3"/>
        <n v="2.8751623075496197E-2"/>
        <n v="1.9633086578693275E-2"/>
        <n v="0"/>
        <n v="8.6229652441706994E-2"/>
        <n v="3.6065573770491806E-2"/>
        <n v="4.8743566454738117E-2"/>
        <n v="5.667001003009027E-2"/>
        <n v="0.18"/>
        <n v="1.1437908496732025E-2"/>
        <n v="0.14346504559270518"/>
        <n v="9.9772209567198178E-2"/>
        <n v="8.7605633802816898E-2"/>
        <n v="0.10091027308192457"/>
        <n v="7.2210526315789475E-2"/>
        <n v="2.6570915619389589E-2"/>
        <n v="0.10302708443972385"/>
        <n v="8.3545918367346941E-2"/>
        <n v="0.172782874617737"/>
        <n v="4.1499713795077275E-2"/>
        <n v="0.10309278350515463"/>
        <n v="4.9318364073777064E-2"/>
        <n v="1.8240343347639486E-2"/>
        <n v="4.9180327868852463E-3"/>
        <n v="3.9353769676884837E-2"/>
        <n v="0.14924181963288108"/>
        <n v="1.7498713329902212E-2"/>
        <n v="2.0033741037536905E-2"/>
        <n v="2.5090789039286892E-2"/>
        <n v="0.12692793931731985"/>
        <n v="3.2149923623427619E-2"/>
        <n v="5.0529747351263241E-2"/>
        <n v="3.9010466222645097E-2"/>
        <n v="2.9504741833508957E-2"/>
        <n v="3.5639412997903561E-2"/>
        <n v="0.12081952395299789"/>
        <n v="0.11344019728729964"/>
        <n v="0.15448968209704406"/>
        <n v="1.2345679012345678E-2"/>
        <n v="0.12533692722371967"/>
        <n v="0.12438139227977565"/>
        <n v="1.2508229098090849E-2"/>
        <n v="1.1885895404120444E-2"/>
        <n v="6.1383928571428568E-2"/>
        <n v="1.7164179104477612E-2"/>
        <n v="0.16017009213323885"/>
        <n v="3.8552787663107949E-2"/>
        <n v="6.5972222222222224E-2"/>
        <n v="0.20446818844099077"/>
        <n v="5.3264604810996562E-2"/>
        <n v="3.4727919059338253E-2"/>
        <n v="0.11149425287356322"/>
        <n v="4.541895066562255E-2"/>
        <n v="0.18612922347362182"/>
        <n v="6.4859117490696436E-2"/>
        <n v="7.084927314460597E-2"/>
        <n v="6.5295815295815296E-2"/>
      </sharedItems>
      <fieldGroup base="35">
        <rangePr startNum="0" endNum="0.37675606641123882" groupInterval="0.05"/>
        <groupItems count="10">
          <s v="&lt;0"/>
          <s v="0-0.05"/>
          <s v="0.05-0.1"/>
          <s v="0.1-0.15"/>
          <s v="0.15-0.2"/>
          <s v="0.2-0.25"/>
          <s v="0.25-0.3"/>
          <s v="0.3-0.35"/>
          <s v="0.35-0.4"/>
          <s v="&gt;0.4"/>
        </groupItems>
      </fieldGroup>
    </cacheField>
    <cacheField name="Employment_rate_20_64" numFmtId="2">
      <sharedItems containsSemiMixedTypes="0" containsString="0" containsNumber="1" minValue="0.64299964792864683" maxValue="0.94013303769401335"/>
    </cacheField>
    <cacheField name="Nilf_share_20_64" numFmtId="2">
      <sharedItems containsSemiMixedTypes="0" containsString="0" containsNumber="1" minValue="5.3215077605321508E-2" maxValue="0.33188592888158669"/>
    </cacheField>
    <cacheField name="Family with related children below poverty" numFmtId="2">
      <sharedItems containsSemiMixedTypes="0" containsString="0" containsNumber="1" minValue="0" maxValue="5.7777777777777775E-2"/>
    </cacheField>
    <cacheField name="Family without related children below poverty" numFmtId="2">
      <sharedItems containsSemiMixedTypes="0" containsString="0" containsNumber="1" minValue="0" maxValue="0.28224776500638571"/>
    </cacheField>
    <cacheField name="Single parents with related children below poverty" numFmtId="2">
      <sharedItems containsSemiMixedTypes="0" containsString="0" containsNumber="1" minValue="0" maxValue="0.147413182140326"/>
    </cacheField>
    <cacheField name="Other families below poverty" numFmtId="2">
      <sharedItems containsSemiMixedTypes="0" containsString="0" containsNumber="1" minValue="0" maxValue="6.6369213608477418E-2"/>
    </cacheField>
    <cacheField name="Unemployment_rate_16+" numFmtId="2">
      <sharedItems containsSemiMixedTypes="0" containsString="0" containsNumber="1" minValue="0" maxValue="0.14636574842349817"/>
    </cacheField>
    <cacheField name="Employment_rate_16+" numFmtId="2">
      <sharedItems containsSemiMixedTypes="0" containsString="0" containsNumber="1" minValue="0.50445261618891502" maxValue="0.84719789842381787"/>
    </cacheField>
    <cacheField name="Laborforce_participation_16+" numFmtId="2">
      <sharedItems containsSemiMixedTypes="0" containsString="0" containsNumber="1" minValue="0.5506623543485003" maxValue="0.87740805604203154"/>
    </cacheField>
    <cacheField name="NILF_share_16+" numFmtId="2">
      <sharedItems containsSemiMixedTypes="0" containsString="0" containsNumber="1" minValue="0.12259194395796848" maxValue="0.4493376456514997"/>
    </cacheField>
    <cacheField name="Key" numFmtId="0">
      <sharedItems/>
    </cacheField>
    <cacheField name="ACS Vinatag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x v="0"/>
    <x v="0"/>
    <n v="14516"/>
    <n v="3751"/>
    <n v="10745"/>
    <n v="574"/>
    <n v="17039"/>
    <n v="670"/>
    <n v="717"/>
    <n v="376"/>
    <n v="426"/>
    <n v="594"/>
    <n v="168"/>
    <n v="14088"/>
    <n v="3765"/>
    <n v="156"/>
    <n v="0"/>
    <n v="29"/>
    <n v="67"/>
    <n v="60"/>
    <n v="11633"/>
    <n v="887"/>
    <n v="9637"/>
    <n v="392"/>
    <n v="2951"/>
    <n v="10165"/>
    <n v="594"/>
    <n v="1448"/>
    <n v="293"/>
    <n v="528"/>
    <n v="202"/>
    <n v="7.624860311183701E-2"/>
    <n v="5.1942941465814067E-2"/>
    <n v="0.87380727241468237"/>
    <x v="0"/>
    <x v="0"/>
    <n v="0.12447348061549042"/>
    <n v="0"/>
    <n v="7.7025232403718459E-3"/>
    <n v="1.7795484727755644E-2"/>
    <n v="1.5936254980079681E-2"/>
    <n v="5.3420195439739415E-2"/>
    <n v="0.70067511711215213"/>
    <n v="0.74021769082391842"/>
    <n v="0.25840451915128132"/>
    <s v="Olympic Hills/Victory Heights | North"/>
    <s v="5Y23"/>
  </r>
  <r>
    <x v="1"/>
    <x v="0"/>
    <x v="0"/>
    <n v="12513"/>
    <n v="3677"/>
    <n v="8836"/>
    <n v="259"/>
    <n v="14445"/>
    <n v="498"/>
    <n v="824"/>
    <n v="497"/>
    <n v="287"/>
    <n v="582"/>
    <n v="119"/>
    <n v="11638"/>
    <n v="3442"/>
    <n v="169"/>
    <n v="54"/>
    <n v="28"/>
    <n v="49"/>
    <n v="38"/>
    <n v="9389"/>
    <n v="843"/>
    <n v="7774"/>
    <n v="250"/>
    <n v="2807"/>
    <n v="7985"/>
    <n v="321"/>
    <n v="1404"/>
    <n v="522"/>
    <n v="211"/>
    <n v="71"/>
    <n v="8.9785919693258068E-2"/>
    <n v="2.6424546023794616E-2"/>
    <n v="0.85046330812653104"/>
    <x v="1"/>
    <x v="1"/>
    <n v="0.14953669187346896"/>
    <n v="1.568855316676351E-2"/>
    <n v="8.1348053457292267E-3"/>
    <n v="1.4235909355026147E-2"/>
    <n v="1.1040092969203951E-2"/>
    <n v="2.931190583974649E-2"/>
    <n v="0.68544713497962118"/>
    <n v="0.70614560856709019"/>
    <n v="0.29385439143290976"/>
    <s v="Cedar Park/Meadowbrook | North"/>
    <s v="5Y23"/>
  </r>
  <r>
    <x v="2"/>
    <x v="0"/>
    <x v="1"/>
    <n v="13260"/>
    <n v="4753"/>
    <n v="8507"/>
    <n v="356"/>
    <n v="15645"/>
    <n v="676"/>
    <n v="1105"/>
    <n v="173"/>
    <n v="291"/>
    <n v="898"/>
    <n v="118"/>
    <n v="12384"/>
    <n v="3478"/>
    <n v="242"/>
    <n v="9"/>
    <n v="49"/>
    <n v="161"/>
    <n v="23"/>
    <n v="9295"/>
    <n v="861"/>
    <n v="7454"/>
    <n v="285"/>
    <n v="3261"/>
    <n v="7776"/>
    <n v="371"/>
    <n v="1519"/>
    <n v="490"/>
    <n v="322"/>
    <n v="86"/>
    <n v="9.263044647660032E-2"/>
    <n v="4.1409465020576131E-2"/>
    <n v="0.836578805809575"/>
    <x v="2"/>
    <x v="2"/>
    <n v="0.16342119419042497"/>
    <n v="2.5876940770557791E-3"/>
    <n v="1.4088556641748131E-2"/>
    <n v="4.6290971822886717E-2"/>
    <n v="6.6129959746981026E-3"/>
    <n v="4.1847889972963445E-2"/>
    <n v="0.61470588235294121"/>
    <n v="0.64155354449472102"/>
    <n v="0.35844645550527904"/>
    <s v="Broadview/Bitter Lake | Northwest"/>
    <s v="5Y23"/>
  </r>
  <r>
    <x v="3"/>
    <x v="0"/>
    <x v="1"/>
    <n v="8798"/>
    <n v="1895"/>
    <n v="6903"/>
    <n v="267"/>
    <n v="9597"/>
    <n v="631"/>
    <n v="429"/>
    <n v="145"/>
    <n v="310"/>
    <n v="411"/>
    <n v="155"/>
    <n v="7516"/>
    <n v="1580"/>
    <n v="92"/>
    <n v="0"/>
    <n v="13"/>
    <n v="13"/>
    <n v="66"/>
    <n v="7609"/>
    <n v="712"/>
    <n v="6339"/>
    <n v="201"/>
    <n v="2081"/>
    <n v="6601"/>
    <n v="301"/>
    <n v="1008"/>
    <n v="411"/>
    <n v="262"/>
    <n v="100"/>
    <n v="9.3573399921146008E-2"/>
    <n v="3.9690955915770335E-2"/>
    <n v="0.86752529898804043"/>
    <x v="3"/>
    <x v="3"/>
    <n v="0.13247470101195952"/>
    <n v="0"/>
    <n v="8.2278481012658233E-3"/>
    <n v="8.2278481012658233E-3"/>
    <n v="4.1772151898734178E-2"/>
    <n v="3.867883528900478E-2"/>
    <n v="0.75426233234826101"/>
    <n v="0.7846101386678791"/>
    <n v="0.21538986133212093"/>
    <s v="Licton Springs | Northwest"/>
    <s v="5Y23"/>
  </r>
  <r>
    <x v="4"/>
    <x v="0"/>
    <x v="1"/>
    <n v="23396"/>
    <n v="4985"/>
    <n v="18381"/>
    <n v="565"/>
    <n v="26912"/>
    <n v="854"/>
    <n v="371"/>
    <n v="241"/>
    <n v="395"/>
    <n v="417"/>
    <n v="335"/>
    <n v="24299"/>
    <n v="6376"/>
    <n v="117"/>
    <n v="35"/>
    <n v="12"/>
    <n v="65"/>
    <n v="5"/>
    <n v="19323"/>
    <n v="886"/>
    <n v="16629"/>
    <n v="324"/>
    <n v="2613"/>
    <n v="17105"/>
    <n v="456"/>
    <n v="2188"/>
    <n v="430"/>
    <n v="476"/>
    <n v="132"/>
    <n v="4.5852093360244268E-2"/>
    <n v="2.782812043262204E-2"/>
    <n v="0.88521451120426431"/>
    <x v="4"/>
    <x v="4"/>
    <n v="0.11323293484448585"/>
    <n v="5.4893350062735257E-3"/>
    <n v="1.8820577164366374E-3"/>
    <n v="1.019447929736512E-2"/>
    <n v="7.8419071518193227E-4"/>
    <n v="3.0738262336107939E-2"/>
    <n v="0.76149769191314753"/>
    <n v="0.78564711916566932"/>
    <n v="0.21307061036074543"/>
    <s v="Greenwood/Phinney Ridge | Northwest"/>
    <s v="5Y23"/>
  </r>
  <r>
    <x v="5"/>
    <x v="0"/>
    <x v="1"/>
    <n v="15265"/>
    <n v="3477"/>
    <n v="11779"/>
    <n v="498"/>
    <n v="17425"/>
    <n v="513"/>
    <n v="784"/>
    <n v="338"/>
    <n v="463"/>
    <n v="431"/>
    <n v="96"/>
    <n v="14800"/>
    <n v="3726"/>
    <n v="92"/>
    <n v="7"/>
    <n v="9"/>
    <n v="50"/>
    <n v="26"/>
    <n v="12509"/>
    <n v="966"/>
    <n v="10702"/>
    <n v="289"/>
    <n v="2625"/>
    <n v="11200"/>
    <n v="441"/>
    <n v="1300"/>
    <n v="525"/>
    <n v="498"/>
    <n v="152"/>
    <n v="7.7224398433128144E-2"/>
    <n v="4.4464285714285713E-2"/>
    <n v="0.89535534415221041"/>
    <x v="5"/>
    <x v="5"/>
    <n v="0.10392517387481014"/>
    <n v="1.878690284487386E-3"/>
    <n v="2.4154589371980675E-3"/>
    <n v="1.3419216317767043E-2"/>
    <n v="6.9779924852388618E-3"/>
    <n v="4.2278631462772734E-2"/>
    <n v="0.73901080904028826"/>
    <n v="0.7716344579102522"/>
    <n v="0.22777595807402554"/>
    <s v="Green Lake | Northwest"/>
    <s v="5Y23"/>
  </r>
  <r>
    <x v="6"/>
    <x v="0"/>
    <x v="1"/>
    <n v="8986"/>
    <n v="2220"/>
    <n v="6766"/>
    <n v="316"/>
    <n v="10866"/>
    <n v="512"/>
    <n v="325"/>
    <n v="103"/>
    <n v="126"/>
    <n v="156"/>
    <n v="89"/>
    <n v="9555"/>
    <n v="2632"/>
    <n v="127"/>
    <n v="51"/>
    <n v="0"/>
    <n v="76"/>
    <n v="0"/>
    <n v="7420"/>
    <n v="433"/>
    <n v="6080"/>
    <n v="264"/>
    <n v="1311"/>
    <n v="6364"/>
    <n v="342"/>
    <n v="1056"/>
    <n v="91"/>
    <n v="284"/>
    <n v="78"/>
    <n v="5.8355795148247978E-2"/>
    <n v="4.4626021370207415E-2"/>
    <n v="0.85768194070080861"/>
    <x v="6"/>
    <x v="6"/>
    <n v="0.14231805929919136"/>
    <n v="1.9376899696048631E-2"/>
    <n v="0"/>
    <n v="2.8875379939209727E-2"/>
    <n v="0"/>
    <n v="4.6704108779190068E-2"/>
    <n v="0.71778321833963943"/>
    <n v="0.7529490318272869"/>
    <n v="0.2470509681727131"/>
    <s v="Haller Lake | Northwest"/>
    <s v="5Y23"/>
  </r>
  <r>
    <x v="7"/>
    <x v="0"/>
    <x v="2"/>
    <n v="10485"/>
    <n v="2784"/>
    <n v="7654"/>
    <n v="343"/>
    <n v="12716"/>
    <n v="252"/>
    <n v="601"/>
    <n v="83"/>
    <n v="141"/>
    <n v="144"/>
    <n v="112"/>
    <n v="11383"/>
    <n v="3294"/>
    <n v="136"/>
    <n v="30"/>
    <n v="0"/>
    <n v="36"/>
    <n v="70"/>
    <n v="8116"/>
    <n v="690"/>
    <n v="6776"/>
    <n v="278"/>
    <n v="1333"/>
    <n v="7119"/>
    <n v="444"/>
    <n v="950"/>
    <n v="246"/>
    <n v="343"/>
    <n v="166"/>
    <n v="8.5017249876786591E-2"/>
    <n v="4.8180924287118974E-2"/>
    <n v="0.87715623459832426"/>
    <x v="7"/>
    <x v="7"/>
    <n v="0.11705273533760473"/>
    <n v="9.1074681238615673E-3"/>
    <n v="0"/>
    <n v="1.092896174863388E-2"/>
    <n v="2.1250758955676987E-2"/>
    <n v="4.4813169584530965E-2"/>
    <n v="0.69728183118741061"/>
    <n v="0.72999523128278498"/>
    <n v="0.26552217453505006"/>
    <s v="North Beach/Blue Ridge | Ballard"/>
    <s v="5Y23"/>
  </r>
  <r>
    <x v="8"/>
    <x v="0"/>
    <x v="2"/>
    <n v="12384"/>
    <n v="2446"/>
    <n v="9938"/>
    <n v="173"/>
    <n v="14552"/>
    <n v="402"/>
    <n v="522"/>
    <n v="48"/>
    <n v="159"/>
    <n v="258"/>
    <n v="107"/>
    <n v="13056"/>
    <n v="3363"/>
    <n v="107"/>
    <n v="0"/>
    <n v="0"/>
    <n v="55"/>
    <n v="52"/>
    <n v="10946"/>
    <n v="750"/>
    <n v="9445"/>
    <n v="307"/>
    <n v="1496"/>
    <n v="9609"/>
    <n v="376"/>
    <n v="1337"/>
    <n v="374"/>
    <n v="164"/>
    <n v="69"/>
    <n v="6.8518180157135025E-2"/>
    <n v="1.7067332708918723E-2"/>
    <n v="0.87785492417321398"/>
    <x v="8"/>
    <x v="8"/>
    <n v="0.12214507582678603"/>
    <n v="0"/>
    <n v="0"/>
    <n v="1.6354445435622957E-2"/>
    <n v="1.5462384775498068E-2"/>
    <n v="1.7407929160796941E-2"/>
    <n v="0.78851744186046513"/>
    <n v="0.80248708010335912"/>
    <n v="0.19751291989664083"/>
    <s v="Whittier Heights | Ballard"/>
    <s v="5Y23"/>
  </r>
  <r>
    <x v="9"/>
    <x v="0"/>
    <x v="2"/>
    <n v="13443"/>
    <n v="3746"/>
    <n v="9638"/>
    <n v="307"/>
    <n v="16151"/>
    <n v="221"/>
    <n v="404"/>
    <n v="172"/>
    <n v="67"/>
    <n v="164"/>
    <n v="110"/>
    <n v="15013"/>
    <n v="3652"/>
    <n v="95"/>
    <n v="11"/>
    <n v="14"/>
    <n v="70"/>
    <n v="0"/>
    <n v="10227"/>
    <n v="323"/>
    <n v="8635"/>
    <n v="152"/>
    <n v="1138"/>
    <n v="8883"/>
    <n v="152"/>
    <n v="1285"/>
    <n v="171"/>
    <n v="248"/>
    <n v="0"/>
    <n v="3.1583064437273885E-2"/>
    <n v="2.7918496003602387E-2"/>
    <n v="0.86858316221765919"/>
    <x v="9"/>
    <x v="9"/>
    <n v="0.12564779505231249"/>
    <n v="3.0120481927710845E-3"/>
    <n v="3.8335158817086527E-3"/>
    <n v="1.9167579408543262E-2"/>
    <n v="0"/>
    <n v="3.1853081552189251E-2"/>
    <n v="0.69411589674923757"/>
    <n v="0.7169530610726772"/>
    <n v="0.27865803764040764"/>
    <s v="Sunset Hill/Loyal Heights | Ballard"/>
    <s v="5Y23"/>
  </r>
  <r>
    <x v="10"/>
    <x v="0"/>
    <x v="2"/>
    <n v="10105"/>
    <n v="1484"/>
    <n v="8621"/>
    <n v="557"/>
    <n v="11165"/>
    <n v="470"/>
    <n v="261"/>
    <n v="110"/>
    <n v="62"/>
    <n v="106"/>
    <n v="23"/>
    <n v="10133"/>
    <n v="1641"/>
    <n v="23"/>
    <n v="0"/>
    <n v="0"/>
    <n v="23"/>
    <n v="0"/>
    <n v="9111"/>
    <n v="651"/>
    <n v="7915"/>
    <n v="188"/>
    <n v="1032"/>
    <n v="8472"/>
    <n v="449"/>
    <n v="639"/>
    <n v="202"/>
    <n v="557"/>
    <n v="261"/>
    <n v="7.1452090879157062E-2"/>
    <n v="6.5745986779981114E-2"/>
    <n v="0.92986499835363845"/>
    <x v="10"/>
    <x v="10"/>
    <n v="7.0135001646361536E-2"/>
    <n v="0"/>
    <n v="0"/>
    <n v="1.4015843997562462E-2"/>
    <n v="0"/>
    <n v="6.4609674051734137E-2"/>
    <n v="0.79802078179119251"/>
    <n v="0.85314200890648195"/>
    <n v="0.14685799109351805"/>
    <s v="Ballard | Ballard"/>
    <s v="5Y23"/>
  </r>
  <r>
    <x v="11"/>
    <x v="0"/>
    <x v="3"/>
    <n v="17122"/>
    <n v="2510"/>
    <n v="14584"/>
    <n v="434"/>
    <n v="18373"/>
    <n v="577"/>
    <n v="517"/>
    <n v="162"/>
    <n v="226"/>
    <n v="300"/>
    <n v="125"/>
    <n v="16466"/>
    <n v="3288"/>
    <n v="133"/>
    <n v="5"/>
    <n v="63"/>
    <n v="57"/>
    <n v="8"/>
    <n v="15320"/>
    <n v="772"/>
    <n v="13709"/>
    <n v="346"/>
    <n v="1907"/>
    <n v="14113"/>
    <n v="407"/>
    <n v="1179"/>
    <n v="365"/>
    <n v="404"/>
    <n v="61"/>
    <n v="5.0391644908616189E-2"/>
    <n v="2.8626089421101113E-2"/>
    <n v="0.92121409921671016"/>
    <x v="11"/>
    <x v="11"/>
    <n v="7.6958224543080933E-2"/>
    <n v="1.5206812652068127E-3"/>
    <n v="1.916058394160584E-2"/>
    <n v="1.7335766423357664E-2"/>
    <n v="2.4330900243309003E-3"/>
    <n v="2.9758639605046627E-2"/>
    <n v="0.82642214694545035"/>
    <n v="0.85176965307791142"/>
    <n v="0.14659502394580073"/>
    <s v="Fremont | Lake Union"/>
    <s v="5Y23"/>
  </r>
  <r>
    <x v="12"/>
    <x v="0"/>
    <x v="3"/>
    <n v="16349"/>
    <n v="3213"/>
    <n v="13136"/>
    <n v="532"/>
    <n v="18422"/>
    <n v="1407"/>
    <n v="836"/>
    <n v="200"/>
    <n v="697"/>
    <n v="501"/>
    <n v="199"/>
    <n v="14582"/>
    <n v="3166"/>
    <n v="110"/>
    <n v="12"/>
    <n v="30"/>
    <n v="29"/>
    <n v="39"/>
    <n v="14327"/>
    <n v="2057"/>
    <n v="11961"/>
    <n v="1043"/>
    <n v="3840"/>
    <n v="12404"/>
    <n v="1199"/>
    <n v="1923"/>
    <n v="858"/>
    <n v="443"/>
    <n v="156"/>
    <n v="0.1435750680533259"/>
    <n v="3.5714285714285712E-2"/>
    <n v="0.86577790186361414"/>
    <x v="12"/>
    <x v="12"/>
    <n v="0.13422209813638583"/>
    <n v="3.7902716361339229E-3"/>
    <n v="9.4756790903348081E-3"/>
    <n v="9.1598231206569802E-3"/>
    <n v="1.2318382817435249E-2"/>
    <n v="4.0499390986601706E-2"/>
    <n v="0.77093400207963791"/>
    <n v="0.80347421860664259"/>
    <n v="0.19652578139335738"/>
    <s v="Wallingford | Lake Union"/>
    <s v="5Y23"/>
  </r>
  <r>
    <x v="13"/>
    <x v="0"/>
    <x v="3"/>
    <n v="27801"/>
    <n v="4791"/>
    <n v="22974"/>
    <n v="1177"/>
    <n v="27955"/>
    <n v="2026"/>
    <n v="794"/>
    <n v="531"/>
    <n v="839"/>
    <n v="699"/>
    <n v="111"/>
    <n v="22955"/>
    <n v="3783"/>
    <n v="152"/>
    <n v="19"/>
    <n v="75"/>
    <n v="58"/>
    <n v="0"/>
    <n v="24983"/>
    <n v="2241"/>
    <n v="21352"/>
    <n v="860"/>
    <n v="5000"/>
    <n v="22412"/>
    <n v="1353"/>
    <n v="2535"/>
    <n v="888"/>
    <n v="1060"/>
    <n v="493"/>
    <n v="8.9700996677740868E-2"/>
    <n v="4.7296091379618065E-2"/>
    <n v="0.89709002121442583"/>
    <x v="13"/>
    <x v="13"/>
    <n v="0.1014689989192651"/>
    <n v="5.0224689399947136E-3"/>
    <n v="1.9825535289452814E-2"/>
    <n v="1.5331747290510176E-2"/>
    <n v="0"/>
    <n v="5.1231827283015584E-2"/>
    <n v="0.7840365454480055"/>
    <n v="0.82637315204489048"/>
    <n v="0.17233193050609691"/>
    <s v="Cascade/Eastlake | Lake Union"/>
    <s v="5Y23"/>
  </r>
  <r>
    <x v="14"/>
    <x v="0"/>
    <x v="4"/>
    <n v="10603"/>
    <n v="3210"/>
    <n v="7393"/>
    <n v="144"/>
    <n v="13750"/>
    <n v="285"/>
    <n v="128"/>
    <n v="177"/>
    <n v="79"/>
    <n v="281"/>
    <n v="146"/>
    <n v="12654"/>
    <n v="3834"/>
    <n v="77"/>
    <n v="9"/>
    <n v="58"/>
    <n v="10"/>
    <n v="0"/>
    <n v="7845"/>
    <n v="231"/>
    <n v="6463"/>
    <n v="84"/>
    <n v="1096"/>
    <n v="6607"/>
    <n v="97"/>
    <n v="1238"/>
    <n v="134"/>
    <n v="144"/>
    <n v="13"/>
    <n v="2.9445506692160613E-2"/>
    <n v="2.1795065839261388E-2"/>
    <n v="0.84219247928616958"/>
    <x v="14"/>
    <x v="14"/>
    <n v="0.15780752071383047"/>
    <n v="2.3474178403755869E-3"/>
    <n v="1.5127803860198226E-2"/>
    <n v="2.6082420448617634E-3"/>
    <n v="0"/>
    <n v="1.9477884485323955E-2"/>
    <n v="0.68367443176459497"/>
    <n v="0.69725549372819018"/>
    <n v="0.30274450627180988"/>
    <s v="Magnolia | Magnolia/Queen Anne"/>
    <s v="5Y23"/>
  </r>
  <r>
    <x v="15"/>
    <x v="0"/>
    <x v="4"/>
    <n v="10731"/>
    <n v="1708"/>
    <n v="8956"/>
    <n v="308"/>
    <n v="11990"/>
    <n v="533"/>
    <n v="461"/>
    <n v="278"/>
    <n v="180"/>
    <n v="177"/>
    <n v="52"/>
    <n v="10309"/>
    <n v="2568"/>
    <n v="71"/>
    <n v="38"/>
    <n v="22"/>
    <n v="11"/>
    <n v="0"/>
    <n v="9405"/>
    <n v="819"/>
    <n v="8228"/>
    <n v="411"/>
    <n v="1681"/>
    <n v="8519"/>
    <n v="507"/>
    <n v="886"/>
    <n v="312"/>
    <n v="291"/>
    <n v="96"/>
    <n v="8.7081339712918662E-2"/>
    <n v="3.415893884258716E-2"/>
    <n v="0.90579479000531637"/>
    <x v="15"/>
    <x v="15"/>
    <n v="9.4205209994683681E-2"/>
    <n v="1.4797507788161994E-2"/>
    <n v="8.5669781931464167E-3"/>
    <n v="4.2834890965732083E-3"/>
    <n v="0"/>
    <n v="3.4390352836087539E-2"/>
    <n v="0.80588947907930297"/>
    <n v="0.83459137079489332"/>
    <n v="0.15916503587736464"/>
    <s v="Interbay | Magnolia/Queen Anne"/>
    <s v="5Y23"/>
  </r>
  <r>
    <x v="16"/>
    <x v="0"/>
    <x v="4"/>
    <n v="41543"/>
    <n v="8781"/>
    <n v="32709"/>
    <n v="1251"/>
    <n v="43869"/>
    <n v="2011"/>
    <n v="1109"/>
    <n v="403"/>
    <n v="491"/>
    <n v="744"/>
    <n v="488"/>
    <n v="38623"/>
    <n v="7914"/>
    <n v="246"/>
    <n v="0"/>
    <n v="44"/>
    <n v="67"/>
    <n v="135"/>
    <n v="34389"/>
    <n v="2515"/>
    <n v="29745"/>
    <n v="798"/>
    <n v="5246"/>
    <n v="30778"/>
    <n v="965"/>
    <n v="3558"/>
    <n v="1550"/>
    <n v="1033"/>
    <n v="167"/>
    <n v="7.313385094070779E-2"/>
    <n v="3.3562934563649359E-2"/>
    <n v="0.89499549274477308"/>
    <x v="16"/>
    <x v="16"/>
    <n v="0.10346331675826573"/>
    <n v="0"/>
    <n v="5.5597675006317914E-3"/>
    <n v="8.4660096032347747E-3"/>
    <n v="1.7058377558756634E-2"/>
    <n v="3.8246354214436395E-2"/>
    <n v="0.75723948679681297"/>
    <n v="0.78735286329826926"/>
    <n v="0.21137135016729652"/>
    <s v="Queen Anne | Magnolia/Queen Anne"/>
    <s v="5Y23"/>
  </r>
  <r>
    <x v="17"/>
    <x v="0"/>
    <x v="5"/>
    <n v="11126"/>
    <n v="2202"/>
    <n v="8904"/>
    <n v="246"/>
    <n v="11281"/>
    <n v="587"/>
    <n v="609"/>
    <n v="286"/>
    <n v="238"/>
    <n v="207"/>
    <n v="183"/>
    <n v="9171"/>
    <n v="2076"/>
    <n v="30"/>
    <n v="0"/>
    <n v="30"/>
    <n v="0"/>
    <n v="0"/>
    <n v="9986"/>
    <n v="1068"/>
    <n v="8382"/>
    <n v="402"/>
    <n v="2110"/>
    <n v="8628"/>
    <n v="470"/>
    <n v="1338"/>
    <n v="598"/>
    <n v="246"/>
    <n v="68"/>
    <n v="0.10694972962147006"/>
    <n v="2.851182197496523E-2"/>
    <n v="0.86400961345884242"/>
    <x v="17"/>
    <x v="17"/>
    <n v="0.13398758261566193"/>
    <n v="0"/>
    <n v="1.4450867052023121E-2"/>
    <n v="0"/>
    <n v="0"/>
    <n v="2.7628032345013476E-2"/>
    <n v="0.7781772424950566"/>
    <n v="0.80028761459644082"/>
    <n v="0.19791479417580443"/>
    <s v="Belltown | Downtown"/>
    <s v="5Y23"/>
  </r>
  <r>
    <x v="18"/>
    <x v="0"/>
    <x v="5"/>
    <n v="6155"/>
    <n v="2053"/>
    <n v="4057"/>
    <n v="154"/>
    <n v="6163"/>
    <n v="537"/>
    <n v="525"/>
    <n v="130"/>
    <n v="115"/>
    <n v="131"/>
    <n v="97"/>
    <n v="4628"/>
    <n v="950"/>
    <n v="37"/>
    <n v="0"/>
    <n v="37"/>
    <n v="0"/>
    <n v="0"/>
    <n v="5006"/>
    <n v="737"/>
    <n v="3670"/>
    <n v="79"/>
    <n v="1535"/>
    <n v="3802"/>
    <n v="170"/>
    <n v="1159"/>
    <n v="567"/>
    <n v="132"/>
    <n v="91"/>
    <n v="0.1472233320015981"/>
    <n v="3.4718569174118884E-2"/>
    <n v="0.75948861366360365"/>
    <x v="18"/>
    <x v="18"/>
    <n v="0.23152217339192968"/>
    <n v="0"/>
    <n v="3.8947368421052633E-2"/>
    <n v="0"/>
    <n v="0"/>
    <n v="3.7959083066305153E-2"/>
    <n v="0.63411860276198218"/>
    <n v="0.65913891145410231"/>
    <n v="0.33354995938261578"/>
    <s v="Downtown Commercial Core | Downtown"/>
    <s v="5Y23"/>
  </r>
  <r>
    <x v="19"/>
    <x v="0"/>
    <x v="5"/>
    <n v="6171"/>
    <n v="2394"/>
    <n v="3728"/>
    <n v="239"/>
    <n v="6507"/>
    <n v="745"/>
    <n v="1381"/>
    <n v="864"/>
    <n v="278"/>
    <n v="230"/>
    <n v="70"/>
    <n v="2939"/>
    <n v="783"/>
    <n v="295"/>
    <n v="0"/>
    <n v="221"/>
    <n v="55"/>
    <n v="19"/>
    <n v="4559"/>
    <n v="1133"/>
    <n v="3252"/>
    <n v="486"/>
    <n v="3568"/>
    <n v="3483"/>
    <n v="544"/>
    <n v="1027"/>
    <n v="589"/>
    <n v="231"/>
    <n v="58"/>
    <n v="0.24851941215178766"/>
    <n v="6.6322136089577946E-2"/>
    <n v="0.76398332967756089"/>
    <x v="19"/>
    <x v="19"/>
    <n v="0.22526869927615706"/>
    <n v="0"/>
    <n v="0.28224776500638571"/>
    <n v="7.0242656449553006E-2"/>
    <n v="2.4265644955300127E-2"/>
    <n v="6.4109442060085842E-2"/>
    <n v="0.56538648517258139"/>
    <n v="0.60411602657591967"/>
    <n v="0.38794360719494408"/>
    <s v="Pioneer Square/International District | Downtown"/>
    <s v="5Y23"/>
  </r>
  <r>
    <x v="20"/>
    <x v="1"/>
    <x v="6"/>
    <n v="91517"/>
    <n v="24899"/>
    <n v="66175"/>
    <n v="2963"/>
    <n v="107394"/>
    <n v="4790"/>
    <n v="4205"/>
    <n v="2888"/>
    <n v="2177"/>
    <n v="3163"/>
    <n v="1673"/>
    <n v="88498"/>
    <n v="25525"/>
    <n v="976"/>
    <n v="201"/>
    <n v="121"/>
    <n v="421"/>
    <n v="233"/>
    <n v="73267"/>
    <n v="6201"/>
    <n v="59708"/>
    <n v="2159"/>
    <n v="18896"/>
    <n v="62376"/>
    <n v="2983"/>
    <n v="10629"/>
    <n v="3218"/>
    <n v="2668"/>
    <n v="824"/>
    <n v="8.4635647699510014E-2"/>
    <n v="4.2772861356932153E-2"/>
    <n v="0.85135190467741273"/>
    <x v="20"/>
    <x v="20"/>
    <n v="0.1450721334297842"/>
    <n v="7.8746327130264446E-3"/>
    <n v="4.7404505386875609E-3"/>
    <n v="1.6493633692458372E-2"/>
    <n v="9.1283055827619981E-3"/>
    <n v="4.4775217227049489E-2"/>
    <n v="0.69071320082607601"/>
    <n v="0.72308969918157284"/>
    <n v="0.27206967011593475"/>
    <s v="Council District 1 | Unknown"/>
    <s v="5Y23"/>
  </r>
  <r>
    <x v="21"/>
    <x v="1"/>
    <x v="6"/>
    <n v="90805"/>
    <n v="27715"/>
    <n v="63025"/>
    <n v="2285"/>
    <n v="106089"/>
    <n v="7004"/>
    <n v="8205"/>
    <n v="4502"/>
    <n v="2690"/>
    <n v="3547"/>
    <n v="1597"/>
    <n v="78544"/>
    <n v="23697"/>
    <n v="2408"/>
    <n v="444"/>
    <n v="726"/>
    <n v="863"/>
    <n v="375"/>
    <n v="69730"/>
    <n v="7751"/>
    <n v="55992"/>
    <n v="3162"/>
    <n v="27545"/>
    <n v="57948"/>
    <n v="3946"/>
    <n v="11717"/>
    <n v="3782"/>
    <n v="1956"/>
    <n v="784"/>
    <n v="0.11115732109565467"/>
    <n v="3.3754400496997308E-2"/>
    <n v="0.83103398824035568"/>
    <x v="21"/>
    <x v="21"/>
    <n v="0.16803384483005879"/>
    <n v="1.8736548930244335E-2"/>
    <n v="3.0636789467021142E-2"/>
    <n v="3.6418111997299239E-2"/>
    <n v="1.58247879478415E-2"/>
    <n v="3.6255454184847283E-2"/>
    <n v="0.66890589725235394"/>
    <n v="0.6940697098177413"/>
    <n v="0.3052144705688013"/>
    <s v="Council District 2 | Unknown"/>
    <s v="5Y23"/>
  </r>
  <r>
    <x v="22"/>
    <x v="1"/>
    <x v="6"/>
    <n v="99061"/>
    <n v="23018"/>
    <n v="75882"/>
    <n v="3913"/>
    <n v="106829"/>
    <n v="6322"/>
    <n v="4502"/>
    <n v="2021"/>
    <n v="1983"/>
    <n v="3313"/>
    <n v="1461"/>
    <n v="87227"/>
    <n v="18845"/>
    <n v="902"/>
    <n v="101"/>
    <n v="351"/>
    <n v="345"/>
    <n v="105"/>
    <n v="83023"/>
    <n v="7551"/>
    <n v="68785"/>
    <n v="3108"/>
    <n v="19602"/>
    <n v="72421"/>
    <n v="4215"/>
    <n v="10441"/>
    <n v="3336"/>
    <n v="3636"/>
    <n v="1107"/>
    <n v="9.0950700408320581E-2"/>
    <n v="5.0206431836069647E-2"/>
    <n v="0.872300446864122"/>
    <x v="22"/>
    <x v="22"/>
    <n v="0.12576033147441071"/>
    <n v="5.3595118068453171E-3"/>
    <n v="1.8625630140620856E-2"/>
    <n v="1.8307243300610242E-2"/>
    <n v="5.5717697001857252E-3"/>
    <n v="5.1566906512743468E-2"/>
    <n v="0.72651194718405832"/>
    <n v="0.76601286076256048"/>
    <n v="0.23236187803474626"/>
    <s v="Council District 3 | Unknown"/>
    <s v="5Y23"/>
  </r>
  <r>
    <x v="23"/>
    <x v="1"/>
    <x v="6"/>
    <n v="91550"/>
    <n v="27842"/>
    <n v="63656"/>
    <n v="2880"/>
    <n v="93873"/>
    <n v="7895"/>
    <n v="4580"/>
    <n v="1812"/>
    <n v="2003"/>
    <n v="2509"/>
    <n v="1106"/>
    <n v="73968"/>
    <n v="18862"/>
    <n v="609"/>
    <n v="56"/>
    <n v="149"/>
    <n v="266"/>
    <n v="138"/>
    <n v="67669"/>
    <n v="10512"/>
    <n v="53894"/>
    <n v="4237"/>
    <n v="19905"/>
    <n v="55812"/>
    <n v="4934"/>
    <n v="11805"/>
    <n v="5578"/>
    <n v="1918"/>
    <n v="697"/>
    <n v="0.15534439699123676"/>
    <n v="3.4365369454597575E-2"/>
    <n v="0.82477944110301615"/>
    <x v="23"/>
    <x v="23"/>
    <n v="0.17445211248873191"/>
    <n v="2.9689322447248438E-3"/>
    <n v="7.8994804368571724E-3"/>
    <n v="1.4102428162443007E-2"/>
    <n v="7.31629731735765E-3"/>
    <n v="4.5243182103807969E-2"/>
    <n v="0.66385581649371928"/>
    <n v="0.6953140360458766"/>
    <n v="0.30411796832332061"/>
    <s v="Council District 4 | Unknown"/>
    <s v="5Y23"/>
  </r>
  <r>
    <x v="24"/>
    <x v="1"/>
    <x v="6"/>
    <n v="90846"/>
    <n v="25242"/>
    <n v="65518"/>
    <n v="2934"/>
    <n v="105379"/>
    <n v="4865"/>
    <n v="5104"/>
    <n v="2046"/>
    <n v="1991"/>
    <n v="3241"/>
    <n v="1075"/>
    <n v="87057"/>
    <n v="23890"/>
    <n v="1440"/>
    <n v="163"/>
    <n v="301"/>
    <n v="602"/>
    <n v="374"/>
    <n v="71180"/>
    <n v="6472"/>
    <n v="58239"/>
    <n v="2242"/>
    <n v="18322"/>
    <n v="60839"/>
    <n v="3094"/>
    <n v="10255"/>
    <n v="3378"/>
    <n v="2600"/>
    <n v="852"/>
    <n v="9.0924416971059283E-2"/>
    <n v="4.2735745163464227E-2"/>
    <n v="0.85472042708626017"/>
    <x v="24"/>
    <x v="24"/>
    <n v="0.1440713683618994"/>
    <n v="6.8229384679782332E-3"/>
    <n v="1.2599413980745081E-2"/>
    <n v="2.5198827961490162E-2"/>
    <n v="1.5655085809962329E-2"/>
    <n v="4.4781586739521963E-2"/>
    <n v="0.68890209805605085"/>
    <n v="0.72119851176716643"/>
    <n v="0.27785483125288951"/>
    <s v="Council District 5 | Unknown"/>
    <s v="5Y23"/>
  </r>
  <r>
    <x v="25"/>
    <x v="1"/>
    <x v="6"/>
    <n v="89490"/>
    <n v="20015"/>
    <n v="69368"/>
    <n v="2292"/>
    <n v="104797"/>
    <n v="2761"/>
    <n v="2655"/>
    <n v="831"/>
    <n v="1194"/>
    <n v="1652"/>
    <n v="929"/>
    <n v="94775"/>
    <n v="23414"/>
    <n v="602"/>
    <n v="64"/>
    <n v="157"/>
    <n v="298"/>
    <n v="83"/>
    <n v="73528"/>
    <n v="3863"/>
    <n v="63243"/>
    <n v="1454"/>
    <n v="10022"/>
    <n v="65389"/>
    <n v="2040"/>
    <n v="8032"/>
    <n v="1823"/>
    <n v="2146"/>
    <n v="586"/>
    <n v="5.2537808725927539E-2"/>
    <n v="3.281897566869045E-2"/>
    <n v="0.88930747470351434"/>
    <x v="25"/>
    <x v="25"/>
    <n v="0.10923729735610924"/>
    <n v="2.7334073631160843E-3"/>
    <n v="6.7053899376441446E-3"/>
    <n v="1.2727428034509268E-2"/>
    <n v="3.5448876740411719E-3"/>
    <n v="3.3041171721831394E-2"/>
    <n v="0.74953626103475246"/>
    <n v="0.77514806123589231"/>
    <n v="0.22365627444407196"/>
    <s v="Council District 6 | Unknown"/>
    <s v="5Y23"/>
  </r>
  <r>
    <x v="26"/>
    <x v="1"/>
    <x v="6"/>
    <n v="95692"/>
    <n v="19436"/>
    <n v="76035"/>
    <n v="3042"/>
    <n v="98649"/>
    <n v="5205"/>
    <n v="3299"/>
    <n v="1654"/>
    <n v="1903"/>
    <n v="1960"/>
    <n v="939"/>
    <n v="83689"/>
    <n v="17004"/>
    <n v="523"/>
    <n v="38"/>
    <n v="195"/>
    <n v="155"/>
    <n v="135"/>
    <n v="81455"/>
    <n v="6861"/>
    <n v="69958"/>
    <n v="2506"/>
    <n v="14960"/>
    <n v="72636"/>
    <n v="3298"/>
    <n v="8665"/>
    <n v="3563"/>
    <n v="2678"/>
    <n v="792"/>
    <n v="8.4230556749125288E-2"/>
    <n v="3.6868770306734952E-2"/>
    <n v="0.89173163096188079"/>
    <x v="26"/>
    <x v="26"/>
    <n v="0.10637775458842305"/>
    <n v="2.2347682898141612E-3"/>
    <n v="1.1467889908256881E-2"/>
    <n v="9.1155022347682892E-3"/>
    <n v="7.9393083980239948E-3"/>
    <n v="4.0007891102781613E-2"/>
    <n v="0.76279103791330516"/>
    <n v="0.79458052919784306"/>
    <n v="0.20310997784558793"/>
    <s v="Council District 7 | Unknown"/>
    <s v="5Y23"/>
  </r>
  <r>
    <x v="27"/>
    <x v="0"/>
    <x v="7"/>
    <n v="4819"/>
    <n v="1571"/>
    <n v="3248"/>
    <n v="95"/>
    <n v="6105"/>
    <n v="190"/>
    <n v="64"/>
    <n v="16"/>
    <n v="46"/>
    <n v="49"/>
    <n v="41"/>
    <n v="5699"/>
    <n v="1839"/>
    <n v="49"/>
    <n v="18"/>
    <n v="0"/>
    <n v="31"/>
    <n v="0"/>
    <n v="3556"/>
    <n v="170"/>
    <n v="2912"/>
    <n v="32"/>
    <n v="406"/>
    <n v="2998"/>
    <n v="63"/>
    <n v="558"/>
    <n v="107"/>
    <n v="86"/>
    <n v="31"/>
    <n v="4.7806524184476944E-2"/>
    <n v="2.8685790527018012E-2"/>
    <n v="0.84308211473565808"/>
    <x v="27"/>
    <x v="27"/>
    <n v="0.15691788526434194"/>
    <n v="9.7879282218597055E-3"/>
    <n v="0"/>
    <n v="1.6856987493202826E-2"/>
    <n v="0"/>
    <n v="2.9248768472906403E-2"/>
    <n v="0.65428512139448014"/>
    <n v="0.67399875492840844"/>
    <n v="0.32600124507159162"/>
    <s v="Arbor Heights | Southwest"/>
    <s v="5Y23"/>
  </r>
  <r>
    <x v="28"/>
    <x v="0"/>
    <x v="7"/>
    <n v="12592"/>
    <n v="3294"/>
    <n v="9298"/>
    <n v="297"/>
    <n v="15042"/>
    <n v="358"/>
    <n v="457"/>
    <n v="96"/>
    <n v="285"/>
    <n v="354"/>
    <n v="33"/>
    <n v="13459"/>
    <n v="3865"/>
    <n v="28"/>
    <n v="10"/>
    <n v="8"/>
    <n v="10"/>
    <n v="0"/>
    <n v="9746"/>
    <n v="597"/>
    <n v="8271"/>
    <n v="251"/>
    <n v="1583"/>
    <n v="8537"/>
    <n v="380"/>
    <n v="1209"/>
    <n v="217"/>
    <n v="266"/>
    <n v="129"/>
    <n v="6.1255899856351326E-2"/>
    <n v="3.1158486587794305E-2"/>
    <n v="0.87594910732608244"/>
    <x v="28"/>
    <x v="28"/>
    <n v="0.1240508926739175"/>
    <n v="2.5873221216041399E-3"/>
    <n v="2.0698576972833119E-3"/>
    <n v="2.5873221216041399E-3"/>
    <n v="0"/>
    <n v="3.1942353194235322E-2"/>
    <n v="0.71481893265565444"/>
    <n v="0.73840533672172803"/>
    <n v="0.26159466327827191"/>
    <s v="Fauntleroy/Seaview | Southwest"/>
    <s v="5Y23"/>
  </r>
  <r>
    <x v="29"/>
    <x v="0"/>
    <x v="7"/>
    <n v="20307"/>
    <n v="4876"/>
    <n v="15414"/>
    <n v="685"/>
    <n v="23529"/>
    <n v="893"/>
    <n v="565"/>
    <n v="352"/>
    <n v="284"/>
    <n v="374"/>
    <n v="953"/>
    <n v="20108"/>
    <n v="5391"/>
    <n v="155"/>
    <n v="45"/>
    <n v="50"/>
    <n v="37"/>
    <n v="23"/>
    <n v="16479"/>
    <n v="991"/>
    <n v="14013"/>
    <n v="640"/>
    <n v="3421"/>
    <n v="14638"/>
    <n v="680"/>
    <n v="1824"/>
    <n v="311"/>
    <n v="625"/>
    <n v="40"/>
    <n v="6.0137144244189575E-2"/>
    <n v="4.2697089766361523E-2"/>
    <n v="0.88828205594999698"/>
    <x v="29"/>
    <x v="29"/>
    <n v="0.11068632805388677"/>
    <n v="8.3472454090150246E-3"/>
    <n v="9.2747171211278057E-3"/>
    <n v="6.8632906696345763E-3"/>
    <n v="4.2663698757187908E-3"/>
    <n v="4.444011937199948E-2"/>
    <n v="0.72531639336189491"/>
    <n v="0.75904860392967943"/>
    <n v="0.2401142463190033"/>
    <s v="West Seattle Junction/Genesee Hill | Southwest"/>
    <s v="5Y23"/>
  </r>
  <r>
    <x v="30"/>
    <x v="0"/>
    <x v="7"/>
    <n v="10477"/>
    <n v="3322"/>
    <n v="7155"/>
    <n v="191"/>
    <n v="11920"/>
    <n v="267"/>
    <n v="203"/>
    <n v="236"/>
    <n v="187"/>
    <n v="179"/>
    <n v="15"/>
    <n v="10833"/>
    <n v="3107"/>
    <n v="61"/>
    <n v="0"/>
    <n v="28"/>
    <n v="0"/>
    <n v="33"/>
    <n v="7808"/>
    <n v="428"/>
    <n v="6567"/>
    <n v="109"/>
    <n v="1087"/>
    <n v="6729"/>
    <n v="163"/>
    <n v="1079"/>
    <n v="265"/>
    <n v="162"/>
    <n v="54"/>
    <n v="5.4815573770491802E-2"/>
    <n v="2.4074899687917966E-2"/>
    <n v="0.86180840163934425"/>
    <x v="30"/>
    <x v="30"/>
    <n v="0.13819159836065573"/>
    <n v="0"/>
    <n v="9.0119085934985514E-3"/>
    <n v="0"/>
    <n v="1.0621177985194722E-2"/>
    <n v="2.6694619147449337E-2"/>
    <n v="0.66469409182017758"/>
    <n v="0.68292450128853677"/>
    <n v="0.31707549871146323"/>
    <s v="Alki/Admiral | Southwest"/>
    <s v="5Y23"/>
  </r>
  <r>
    <x v="31"/>
    <x v="0"/>
    <x v="8"/>
    <n v="5273"/>
    <n v="1280"/>
    <n v="3933"/>
    <n v="308"/>
    <n v="5803"/>
    <n v="305"/>
    <n v="154"/>
    <n v="58"/>
    <n v="16"/>
    <n v="352"/>
    <n v="63"/>
    <n v="4855"/>
    <n v="1145"/>
    <n v="0"/>
    <n v="0"/>
    <n v="0"/>
    <n v="0"/>
    <n v="0"/>
    <n v="4643"/>
    <n v="436"/>
    <n v="3574"/>
    <n v="64"/>
    <n v="948"/>
    <n v="3866"/>
    <n v="207"/>
    <n v="717"/>
    <n v="229"/>
    <n v="292"/>
    <n v="143"/>
    <n v="9.3904802929140635E-2"/>
    <n v="7.5530263838592862E-2"/>
    <n v="0.83265130303682966"/>
    <x v="31"/>
    <x v="31"/>
    <n v="0.15442601766099504"/>
    <n v="0"/>
    <n v="0"/>
    <n v="0"/>
    <n v="0"/>
    <n v="7.83117213323163E-2"/>
    <n v="0.68746444149440544"/>
    <n v="0.74587521335103357"/>
    <n v="0.24274606485871419"/>
    <s v="North Delridge | Delridge Neighborhoods"/>
    <s v="5Y23"/>
  </r>
  <r>
    <x v="32"/>
    <x v="0"/>
    <x v="8"/>
    <n v="7061"/>
    <n v="2276"/>
    <n v="4785"/>
    <n v="195"/>
    <n v="9132"/>
    <n v="596"/>
    <n v="644"/>
    <n v="1097"/>
    <n v="391"/>
    <n v="313"/>
    <n v="131"/>
    <n v="5960"/>
    <n v="2273"/>
    <n v="196"/>
    <n v="58"/>
    <n v="22"/>
    <n v="60"/>
    <n v="56"/>
    <n v="5964"/>
    <n v="682"/>
    <n v="4448"/>
    <n v="110"/>
    <n v="3172"/>
    <n v="4632"/>
    <n v="160"/>
    <n v="1332"/>
    <n v="522"/>
    <n v="184"/>
    <n v="50"/>
    <n v="0.11435278336686787"/>
    <n v="3.9723661485319514E-2"/>
    <n v="0.77665995975855129"/>
    <x v="32"/>
    <x v="32"/>
    <n v="0.22334004024144868"/>
    <n v="2.5516937967443906E-2"/>
    <n v="9.6788385393752757E-3"/>
    <n v="2.6396832380114386E-2"/>
    <n v="2.4637043554773426E-2"/>
    <n v="4.0752351097178681E-2"/>
    <n v="0.65004956804985126"/>
    <n v="0.67766605296700189"/>
    <n v="0.32233394703299817"/>
    <s v="High Point | Delridge Neighborhoods"/>
    <s v="5Y23"/>
  </r>
  <r>
    <x v="33"/>
    <x v="0"/>
    <x v="8"/>
    <n v="4058"/>
    <n v="812"/>
    <n v="3246"/>
    <n v="83"/>
    <n v="5014"/>
    <n v="262"/>
    <n v="88"/>
    <n v="0"/>
    <n v="15"/>
    <n v="202"/>
    <n v="33"/>
    <n v="4414"/>
    <n v="1220"/>
    <n v="44"/>
    <n v="0"/>
    <n v="0"/>
    <n v="44"/>
    <n v="0"/>
    <n v="3446"/>
    <n v="166"/>
    <n v="3023"/>
    <n v="90"/>
    <n v="600"/>
    <n v="3098"/>
    <n v="105"/>
    <n v="348"/>
    <n v="61"/>
    <n v="75"/>
    <n v="15"/>
    <n v="4.8171793383633199E-2"/>
    <n v="2.420916720464816E-2"/>
    <n v="0.89901334881021477"/>
    <x v="33"/>
    <x v="33"/>
    <n v="0.10098665118978525"/>
    <n v="0"/>
    <n v="0"/>
    <n v="3.6065573770491806E-2"/>
    <n v="0"/>
    <n v="2.5569932224276032E-2"/>
    <n v="0.77944800394282898"/>
    <n v="0.79990142927550523"/>
    <n v="0.20009857072449483"/>
    <s v="Riverview | Delridge Neighborhoods"/>
    <s v="5Y23"/>
  </r>
  <r>
    <x v="34"/>
    <x v="0"/>
    <x v="8"/>
    <n v="11901"/>
    <n v="2825"/>
    <n v="9056"/>
    <n v="446"/>
    <n v="13846"/>
    <n v="605"/>
    <n v="643"/>
    <n v="336"/>
    <n v="162"/>
    <n v="395"/>
    <n v="248"/>
    <n v="11457"/>
    <n v="3303"/>
    <n v="161"/>
    <n v="18"/>
    <n v="13"/>
    <n v="98"/>
    <n v="32"/>
    <n v="9750"/>
    <n v="838"/>
    <n v="8232"/>
    <n v="145"/>
    <n v="2389"/>
    <n v="8579"/>
    <n v="300"/>
    <n v="1151"/>
    <n v="538"/>
    <n v="347"/>
    <n v="155"/>
    <n v="8.5948717948717945E-2"/>
    <n v="4.0447604615922603E-2"/>
    <n v="0.87989743589743585"/>
    <x v="34"/>
    <x v="34"/>
    <n v="0.11805128205128206"/>
    <n v="5.4495912806539508E-3"/>
    <n v="3.9358159249167426E-3"/>
    <n v="2.9669996972449288E-2"/>
    <n v="9.6881622767181347E-3"/>
    <n v="4.9249116607773855E-2"/>
    <n v="0.72346861608268209"/>
    <n v="0.76094445844886982"/>
    <n v="0.23737501050331905"/>
    <s v="Roxhill/Westwood | Delridge Neighborhoods"/>
    <s v="5Y23"/>
  </r>
  <r>
    <x v="35"/>
    <x v="0"/>
    <x v="8"/>
    <n v="6775"/>
    <n v="2242"/>
    <n v="4517"/>
    <n v="174"/>
    <n v="8130"/>
    <n v="369"/>
    <n v="200"/>
    <n v="238"/>
    <n v="275"/>
    <n v="653"/>
    <n v="92"/>
    <n v="6303"/>
    <n v="1994"/>
    <n v="113"/>
    <n v="0"/>
    <n v="0"/>
    <n v="33"/>
    <n v="80"/>
    <n v="5200"/>
    <n v="390"/>
    <n v="3985"/>
    <n v="148"/>
    <n v="1827"/>
    <n v="4145"/>
    <n v="157"/>
    <n v="1039"/>
    <n v="233"/>
    <n v="160"/>
    <n v="9"/>
    <n v="7.4999999999999997E-2"/>
    <n v="3.8600723763570564E-2"/>
    <n v="0.79711538461538467"/>
    <x v="35"/>
    <x v="35"/>
    <n v="0.1998076923076923"/>
    <n v="0"/>
    <n v="0"/>
    <n v="1.6549648946840523E-2"/>
    <n v="4.0120361083249748E-2"/>
    <n v="3.8521142351117997E-2"/>
    <n v="0.64103321033210336"/>
    <n v="0.66671586715867159"/>
    <n v="0.33092250922509225"/>
    <s v="Highland Park | Delridge Neighborhoods"/>
    <s v="5Y23"/>
  </r>
  <r>
    <x v="36"/>
    <x v="0"/>
    <x v="9"/>
    <n v="3281"/>
    <n v="793"/>
    <n v="2401"/>
    <n v="160"/>
    <n v="4003"/>
    <n v="323"/>
    <n v="558"/>
    <n v="198"/>
    <n v="362"/>
    <n v="172"/>
    <n v="9"/>
    <n v="2381"/>
    <n v="900"/>
    <n v="162"/>
    <n v="52"/>
    <n v="0"/>
    <n v="101"/>
    <n v="9"/>
    <n v="2651"/>
    <n v="470"/>
    <n v="2062"/>
    <n v="205"/>
    <n v="1622"/>
    <n v="2222"/>
    <n v="255"/>
    <n v="342"/>
    <n v="215"/>
    <n v="160"/>
    <n v="50"/>
    <n v="0.17729158807996984"/>
    <n v="7.2007200720072009E-2"/>
    <n v="0.83817427385892118"/>
    <x v="36"/>
    <x v="36"/>
    <n v="0.12900792153904186"/>
    <n v="5.7777777777777775E-2"/>
    <n v="0"/>
    <n v="0.11222222222222222"/>
    <n v="0.01"/>
    <n v="6.6638900458142442E-2"/>
    <n v="0.68302346845473938"/>
    <n v="0.73178908869247183"/>
    <n v="0.2416946053032612"/>
    <s v="South Park | Greater Duwamish"/>
    <s v="5Y23"/>
  </r>
  <r>
    <x v="37"/>
    <x v="0"/>
    <x v="9"/>
    <n v="1066"/>
    <n v="167"/>
    <n v="899"/>
    <n v="6"/>
    <n v="1181"/>
    <n v="12"/>
    <n v="103"/>
    <n v="53"/>
    <n v="5"/>
    <n v="53"/>
    <n v="31"/>
    <n v="924"/>
    <n v="178"/>
    <n v="0"/>
    <n v="0"/>
    <n v="0"/>
    <n v="0"/>
    <n v="0"/>
    <n v="902"/>
    <n v="107"/>
    <n v="848"/>
    <n v="101"/>
    <n v="257"/>
    <n v="854"/>
    <n v="101"/>
    <n v="48"/>
    <n v="6"/>
    <n v="6"/>
    <n v="0"/>
    <n v="0.11862527716186252"/>
    <n v="7.0257611241217799E-3"/>
    <n v="0.94678492239467849"/>
    <x v="31"/>
    <x v="37"/>
    <n v="5.3215077605321508E-2"/>
    <n v="0"/>
    <n v="0"/>
    <n v="0"/>
    <n v="0"/>
    <n v="6.6740823136818691E-3"/>
    <n v="0.83771106941838647"/>
    <n v="0.84333958724202629"/>
    <n v="0.15666041275797374"/>
    <s v="Georgetown | Greater Duwamish"/>
    <s v="5Y23"/>
  </r>
  <r>
    <x v="38"/>
    <x v="0"/>
    <x v="9"/>
    <n v="3147"/>
    <n v="636"/>
    <n v="2317"/>
    <n v="127"/>
    <n v="3165"/>
    <n v="239"/>
    <n v="152"/>
    <n v="24"/>
    <n v="144"/>
    <n v="67"/>
    <n v="21"/>
    <n v="2518"/>
    <n v="612"/>
    <n v="7"/>
    <n v="0"/>
    <n v="0"/>
    <n v="7"/>
    <n v="0"/>
    <n v="2387"/>
    <n v="295"/>
    <n v="1954"/>
    <n v="154"/>
    <n v="647"/>
    <n v="2081"/>
    <n v="208"/>
    <n v="293"/>
    <n v="87"/>
    <n v="127"/>
    <n v="54"/>
    <n v="0.12358609132802681"/>
    <n v="6.1028351753964441E-2"/>
    <n v="0.87180561374109766"/>
    <x v="37"/>
    <x v="38"/>
    <n v="0.12274821952241308"/>
    <n v="0"/>
    <n v="0"/>
    <n v="1.1437908496732025E-2"/>
    <n v="0"/>
    <n v="5.4812257229175661E-2"/>
    <n v="0.69590085795996182"/>
    <n v="0.73625675246266287"/>
    <n v="0.20209723546234509"/>
    <s v="Duwamish/SODO | Greater Duwamish"/>
    <s v="5Y23"/>
  </r>
  <r>
    <x v="39"/>
    <x v="0"/>
    <x v="9"/>
    <n v="12998"/>
    <n v="5002"/>
    <n v="7979"/>
    <n v="361"/>
    <n v="15597"/>
    <n v="1118"/>
    <n v="2041"/>
    <n v="1026"/>
    <n v="506"/>
    <n v="1065"/>
    <n v="202"/>
    <n v="9639"/>
    <n v="3290"/>
    <n v="472"/>
    <n v="171"/>
    <n v="133"/>
    <n v="126"/>
    <n v="42"/>
    <n v="9459"/>
    <n v="1482"/>
    <n v="6967"/>
    <n v="362"/>
    <n v="5958"/>
    <n v="7238"/>
    <n v="460"/>
    <n v="2204"/>
    <n v="1022"/>
    <n v="271"/>
    <n v="98"/>
    <n v="0.15667618141452586"/>
    <n v="3.7441282122133185E-2"/>
    <n v="0.76519716671952642"/>
    <x v="38"/>
    <x v="39"/>
    <n v="0.23300560312929486"/>
    <n v="5.1975683890577509E-2"/>
    <n v="4.042553191489362E-2"/>
    <n v="3.8297872340425532E-2"/>
    <n v="1.276595744680851E-2"/>
    <n v="4.5243764882817394E-2"/>
    <n v="0.58609016771811051"/>
    <n v="0.6138636713340514"/>
    <n v="0.38482843514386827"/>
    <s v="South Beacon Hill/NewHolly | Greater Duwamish"/>
    <s v="5Y23"/>
  </r>
  <r>
    <x v="40"/>
    <x v="0"/>
    <x v="9"/>
    <n v="7651"/>
    <n v="2567"/>
    <n v="5084"/>
    <n v="90"/>
    <n v="9301"/>
    <n v="395"/>
    <n v="586"/>
    <n v="303"/>
    <n v="117"/>
    <n v="429"/>
    <n v="43"/>
    <n v="7428"/>
    <n v="2195"/>
    <n v="219"/>
    <n v="73"/>
    <n v="112"/>
    <n v="34"/>
    <n v="0"/>
    <n v="5605"/>
    <n v="459"/>
    <n v="4552"/>
    <n v="249"/>
    <n v="1873"/>
    <n v="4635"/>
    <n v="268"/>
    <n v="970"/>
    <n v="191"/>
    <n v="83"/>
    <n v="19"/>
    <n v="8.189116859946477E-2"/>
    <n v="1.7907227615965481E-2"/>
    <n v="0.8269402319357716"/>
    <x v="39"/>
    <x v="40"/>
    <n v="0.17305976806422838"/>
    <n v="3.3257403189066059E-2"/>
    <n v="5.1025056947608199E-2"/>
    <n v="1.5489749430523917E-2"/>
    <n v="0"/>
    <n v="1.7702596380802519E-2"/>
    <n v="0.65272513396941578"/>
    <n v="0.66448830218272126"/>
    <n v="0.3355116978172788"/>
    <s v="Beacon Hill | Greater Duwamish"/>
    <s v="5Y23"/>
  </r>
  <r>
    <x v="41"/>
    <x v="0"/>
    <x v="9"/>
    <n v="13743"/>
    <n v="3562"/>
    <n v="10167"/>
    <n v="305"/>
    <n v="15184"/>
    <n v="756"/>
    <n v="992"/>
    <n v="603"/>
    <n v="313"/>
    <n v="422"/>
    <n v="213"/>
    <n v="11885"/>
    <n v="3550"/>
    <n v="311"/>
    <n v="58"/>
    <n v="107"/>
    <n v="98"/>
    <n v="48"/>
    <n v="10785"/>
    <n v="1050"/>
    <n v="9045"/>
    <n v="481"/>
    <n v="3299"/>
    <n v="9312"/>
    <n v="645"/>
    <n v="1459"/>
    <n v="405"/>
    <n v="267"/>
    <n v="164"/>
    <n v="9.7357440890125171E-2"/>
    <n v="2.8672680412371133E-2"/>
    <n v="0.86342141863699584"/>
    <x v="40"/>
    <x v="41"/>
    <n v="0.13528048215113583"/>
    <n v="1.6338028169014085E-2"/>
    <n v="3.0140845070422535E-2"/>
    <n v="2.7605633802816901E-2"/>
    <n v="1.3521126760563381E-2"/>
    <n v="2.9999016425690962E-2"/>
    <n v="0.71760168813213998"/>
    <n v="0.73979480462781055"/>
    <n v="0.25918649494287999"/>
    <s v="North Beacon Hill/Jefferson Park | Greater Duwamish"/>
    <s v="5Y23"/>
  </r>
  <r>
    <x v="42"/>
    <x v="0"/>
    <x v="10"/>
    <n v="12990"/>
    <n v="3817"/>
    <n v="9139"/>
    <n v="401"/>
    <n v="15864"/>
    <n v="1139"/>
    <n v="1140"/>
    <n v="829"/>
    <n v="416"/>
    <n v="708"/>
    <n v="113"/>
    <n v="11519"/>
    <n v="3845"/>
    <n v="388"/>
    <n v="47"/>
    <n v="27"/>
    <n v="230"/>
    <n v="84"/>
    <n v="10249"/>
    <n v="1223"/>
    <n v="7998"/>
    <n v="641"/>
    <n v="4345"/>
    <n v="8387"/>
    <n v="826"/>
    <n v="1828"/>
    <n v="374"/>
    <n v="389"/>
    <n v="185"/>
    <n v="0.11932871499658504"/>
    <n v="4.6381304399666153E-2"/>
    <n v="0.81832373890135623"/>
    <x v="41"/>
    <x v="42"/>
    <n v="0.17835886427944189"/>
    <n v="1.2223667100130039E-2"/>
    <n v="7.0221066319895971E-3"/>
    <n v="5.9817945383615082E-2"/>
    <n v="2.1846553966189858E-2"/>
    <n v="4.3877885983149144E-2"/>
    <n v="0.672671285604311"/>
    <n v="0.70354118552732869"/>
    <n v="0.29384141647421091"/>
    <s v="Rainier Beach | Southeast"/>
    <s v="5Y23"/>
  </r>
  <r>
    <x v="43"/>
    <x v="0"/>
    <x v="10"/>
    <n v="17537"/>
    <n v="4634"/>
    <n v="12903"/>
    <n v="244"/>
    <n v="21059"/>
    <n v="1311"/>
    <n v="1376"/>
    <n v="429"/>
    <n v="400"/>
    <n v="410"/>
    <n v="333"/>
    <n v="16800"/>
    <n v="4750"/>
    <n v="343"/>
    <n v="47"/>
    <n v="44"/>
    <n v="181"/>
    <n v="71"/>
    <n v="14288"/>
    <n v="1166"/>
    <n v="11916"/>
    <n v="468"/>
    <n v="4259"/>
    <n v="12127"/>
    <n v="507"/>
    <n v="2161"/>
    <n v="659"/>
    <n v="211"/>
    <n v="39"/>
    <n v="8.1606942889137737E-2"/>
    <n v="1.7399191885874497E-2"/>
    <n v="0.84875419932810747"/>
    <x v="42"/>
    <x v="43"/>
    <n v="0.1512458006718925"/>
    <n v="9.8947368421052635E-3"/>
    <n v="9.2631578947368429E-3"/>
    <n v="3.8105263157894739E-2"/>
    <n v="1.4947368421052631E-2"/>
    <n v="1.8910330930791287E-2"/>
    <n v="0.72184524148942242"/>
    <n v="0.73575868164452296"/>
    <n v="0.26424131835547698"/>
    <s v="Columbia City | Southeast"/>
    <s v="5Y23"/>
  </r>
  <r>
    <x v="44"/>
    <x v="0"/>
    <x v="10"/>
    <n v="8578"/>
    <n v="2721"/>
    <n v="5857"/>
    <n v="153"/>
    <n v="10896"/>
    <n v="369"/>
    <n v="79"/>
    <n v="150"/>
    <n v="438"/>
    <n v="51"/>
    <n v="497"/>
    <n v="9312"/>
    <n v="2785"/>
    <n v="74"/>
    <n v="48"/>
    <n v="26"/>
    <n v="0"/>
    <n v="0"/>
    <n v="6346"/>
    <n v="252"/>
    <n v="5250"/>
    <n v="59"/>
    <n v="1584"/>
    <n v="5394"/>
    <n v="71"/>
    <n v="952"/>
    <n v="181"/>
    <n v="144"/>
    <n v="12"/>
    <n v="3.9710053577056412E-2"/>
    <n v="2.6696329254727477E-2"/>
    <n v="0.84998424204223133"/>
    <x v="43"/>
    <x v="44"/>
    <n v="0.15001575795776867"/>
    <n v="1.7235188509874325E-2"/>
    <n v="9.33572710951526E-3"/>
    <n v="0"/>
    <n v="0"/>
    <n v="2.6122588355813558E-2"/>
    <n v="0.6649568664024248"/>
    <n v="0.68279319188622056"/>
    <n v="0.31720680811377944"/>
    <s v="Seward Park | Southeast"/>
    <s v="5Y23"/>
  </r>
  <r>
    <x v="45"/>
    <x v="0"/>
    <x v="10"/>
    <n v="5939"/>
    <n v="1552"/>
    <n v="4387"/>
    <n v="128"/>
    <n v="7179"/>
    <n v="284"/>
    <n v="441"/>
    <n v="164"/>
    <n v="118"/>
    <n v="201"/>
    <n v="68"/>
    <n v="5903"/>
    <n v="1883"/>
    <n v="194"/>
    <n v="0"/>
    <n v="30"/>
    <n v="53"/>
    <n v="111"/>
    <n v="4563"/>
    <n v="460"/>
    <n v="3842"/>
    <n v="272"/>
    <n v="1276"/>
    <n v="3970"/>
    <n v="281"/>
    <n v="593"/>
    <n v="179"/>
    <n v="128"/>
    <n v="9"/>
    <n v="0.10081087004163927"/>
    <n v="3.2241813602015112E-2"/>
    <n v="0.87004163927240852"/>
    <x v="44"/>
    <x v="45"/>
    <n v="0.12995836072759151"/>
    <n v="0"/>
    <n v="1.5932023366967606E-2"/>
    <n v="2.8146574614976102E-2"/>
    <n v="5.8948486457780142E-2"/>
    <n v="2.9177114201048553E-2"/>
    <n v="0.71712409496548235"/>
    <n v="0.73867654487287426"/>
    <n v="0.26132345512712579"/>
    <s v="Mt. Baker/North Rainier | Southeast"/>
    <s v="5Y23"/>
  </r>
  <r>
    <x v="46"/>
    <x v="0"/>
    <x v="11"/>
    <n v="10072"/>
    <n v="3485"/>
    <n v="6510"/>
    <n v="236"/>
    <n v="11733"/>
    <n v="803"/>
    <n v="247"/>
    <n v="137"/>
    <n v="270"/>
    <n v="411"/>
    <n v="88"/>
    <n v="9777"/>
    <n v="3136"/>
    <n v="262"/>
    <n v="17"/>
    <n v="98"/>
    <n v="147"/>
    <n v="0"/>
    <n v="7534"/>
    <n v="501"/>
    <n v="5718"/>
    <n v="174"/>
    <n v="1956"/>
    <n v="5914"/>
    <n v="191"/>
    <n v="1543"/>
    <n v="310"/>
    <n v="196"/>
    <n v="17"/>
    <n v="6.649853995221662E-2"/>
    <n v="3.3141697666553942E-2"/>
    <n v="0.78497478099283247"/>
    <x v="45"/>
    <x v="46"/>
    <n v="0.20480488452349349"/>
    <n v="5.4209183673469387E-3"/>
    <n v="3.125E-2"/>
    <n v="4.6875E-2"/>
    <n v="0"/>
    <n v="3.6251920122887867E-2"/>
    <n v="0.62291501191421761"/>
    <n v="0.64634630659253378"/>
    <n v="0.3460087370929309"/>
    <s v="Madrona/Leschi | Central"/>
    <s v="5Y23"/>
  </r>
  <r>
    <x v="47"/>
    <x v="0"/>
    <x v="11"/>
    <n v="3788"/>
    <n v="1146"/>
    <n v="2605"/>
    <n v="194"/>
    <n v="4222"/>
    <n v="384"/>
    <n v="434"/>
    <n v="374"/>
    <n v="267"/>
    <n v="168"/>
    <n v="111"/>
    <n v="2484"/>
    <n v="654"/>
    <n v="113"/>
    <n v="0"/>
    <n v="33"/>
    <n v="80"/>
    <n v="0"/>
    <n v="2917"/>
    <n v="329"/>
    <n v="2312"/>
    <n v="114"/>
    <n v="1738"/>
    <n v="2506"/>
    <n v="208"/>
    <n v="374"/>
    <n v="121"/>
    <n v="194"/>
    <n v="94"/>
    <n v="0.11278711004456633"/>
    <n v="7.7414205905826011E-2"/>
    <n v="0.85910181693520737"/>
    <x v="46"/>
    <x v="47"/>
    <n v="0.12821391840932464"/>
    <n v="0"/>
    <n v="5.0458715596330278E-2"/>
    <n v="0.12232415902140673"/>
    <n v="0"/>
    <n v="7.4472168905950098E-2"/>
    <n v="0.63648363252375928"/>
    <n v="0.6876979936642027"/>
    <n v="0.30253431890179516"/>
    <s v="Judkins Park | Central"/>
    <s v="5Y23"/>
  </r>
  <r>
    <x v="48"/>
    <x v="0"/>
    <x v="11"/>
    <n v="19601"/>
    <n v="4361"/>
    <n v="15193"/>
    <n v="737"/>
    <n v="21480"/>
    <n v="1561"/>
    <n v="1071"/>
    <n v="564"/>
    <n v="317"/>
    <n v="841"/>
    <n v="194"/>
    <n v="16932"/>
    <n v="3494"/>
    <n v="145"/>
    <n v="0"/>
    <n v="21"/>
    <n v="92"/>
    <n v="32"/>
    <n v="16917"/>
    <n v="1739"/>
    <n v="13996"/>
    <n v="603"/>
    <n v="4548"/>
    <n v="14590"/>
    <n v="732"/>
    <n v="2280"/>
    <n v="1007"/>
    <n v="594"/>
    <n v="129"/>
    <n v="0.10279600401962523"/>
    <n v="4.0712816997943796E-2"/>
    <n v="0.86244606017615422"/>
    <x v="47"/>
    <x v="48"/>
    <n v="0.13477566944493705"/>
    <n v="0"/>
    <n v="6.0103033772180882E-3"/>
    <n v="2.633085289066972E-2"/>
    <n v="9.1585575271894669E-3"/>
    <n v="4.8509181860067134E-2"/>
    <n v="0.73751339217386869"/>
    <n v="0.77511351461660116"/>
    <n v="0.22248864853833988"/>
    <s v="Central Area/Squire Park | Central"/>
    <s v="5Y23"/>
  </r>
  <r>
    <x v="49"/>
    <x v="0"/>
    <x v="12"/>
    <n v="18702"/>
    <n v="6039"/>
    <n v="12663"/>
    <n v="885"/>
    <n v="16492"/>
    <n v="1826"/>
    <n v="984"/>
    <n v="437"/>
    <n v="372"/>
    <n v="497"/>
    <n v="157"/>
    <n v="12219"/>
    <n v="2425"/>
    <n v="250"/>
    <n v="0"/>
    <n v="145"/>
    <n v="105"/>
    <n v="0"/>
    <n v="13568"/>
    <n v="1737"/>
    <n v="10984"/>
    <n v="578"/>
    <n v="4273"/>
    <n v="11683"/>
    <n v="909"/>
    <n v="1885"/>
    <n v="828"/>
    <n v="699"/>
    <n v="331"/>
    <n v="0.12802181603773585"/>
    <n v="5.9830522982110758E-2"/>
    <n v="0.86107016509433965"/>
    <x v="48"/>
    <x v="49"/>
    <n v="0.13892983490566038"/>
    <n v="0"/>
    <n v="5.9793814432989693E-2"/>
    <n v="4.3298969072164947E-2"/>
    <n v="0"/>
    <n v="6.9888651978204222E-2"/>
    <n v="0.62977221687520046"/>
    <n v="0.67709335899903755"/>
    <n v="0.32290664100096245"/>
    <s v="First Hill | East"/>
    <s v="5Y23"/>
  </r>
  <r>
    <x v="50"/>
    <x v="0"/>
    <x v="12"/>
    <n v="26180"/>
    <n v="3347"/>
    <n v="22833"/>
    <n v="1209"/>
    <n v="26700"/>
    <n v="1713"/>
    <n v="1153"/>
    <n v="673"/>
    <n v="583"/>
    <n v="794"/>
    <n v="726"/>
    <n v="21058"/>
    <n v="2494"/>
    <n v="123"/>
    <n v="31"/>
    <n v="37"/>
    <n v="0"/>
    <n v="55"/>
    <n v="24486"/>
    <n v="2551"/>
    <n v="21207"/>
    <n v="1277"/>
    <n v="5642"/>
    <n v="22399"/>
    <n v="1663"/>
    <n v="2087"/>
    <n v="888"/>
    <n v="1192"/>
    <n v="386"/>
    <n v="0.1041819815404721"/>
    <n v="5.3216661458100806E-2"/>
    <n v="0.91476762231479214"/>
    <x v="49"/>
    <x v="50"/>
    <n v="8.5232377685207875E-2"/>
    <n v="1.2429831595829992E-2"/>
    <n v="1.483560545308741E-2"/>
    <n v="0"/>
    <n v="2.2052927024859663E-2"/>
    <n v="5.2949678097490474E-2"/>
    <n v="0.82597402597402603"/>
    <n v="0.87215431627196338"/>
    <n v="0.12784568372803667"/>
    <s v="Capitol Hill | East"/>
    <s v="5Y23"/>
  </r>
  <r>
    <x v="51"/>
    <x v="0"/>
    <x v="12"/>
    <n v="4420"/>
    <n v="855"/>
    <n v="3565"/>
    <n v="153"/>
    <n v="4773"/>
    <n v="224"/>
    <n v="66"/>
    <n v="26"/>
    <n v="35"/>
    <n v="125"/>
    <n v="63"/>
    <n v="4234"/>
    <n v="932"/>
    <n v="17"/>
    <n v="0"/>
    <n v="17"/>
    <n v="0"/>
    <n v="0"/>
    <n v="3856"/>
    <n v="250"/>
    <n v="3303"/>
    <n v="68"/>
    <n v="539"/>
    <n v="3456"/>
    <n v="156"/>
    <n v="400"/>
    <n v="94"/>
    <n v="153"/>
    <n v="88"/>
    <n v="6.4834024896265566E-2"/>
    <n v="4.4270833333333336E-2"/>
    <n v="0.89626556016597514"/>
    <x v="50"/>
    <x v="51"/>
    <n v="0.1037344398340249"/>
    <n v="0"/>
    <n v="1.8240343347639486E-2"/>
    <n v="0"/>
    <n v="0"/>
    <n v="4.291725105189341E-2"/>
    <n v="0.7719457013574661"/>
    <n v="0.8065610859728507"/>
    <n v="0.19343891402714933"/>
    <s v="North Capitol Hill | East"/>
    <s v="5Y23"/>
  </r>
  <r>
    <x v="52"/>
    <x v="0"/>
    <x v="12"/>
    <n v="7298"/>
    <n v="2219"/>
    <n v="5079"/>
    <n v="168"/>
    <n v="8233"/>
    <n v="272"/>
    <n v="282"/>
    <n v="41"/>
    <n v="114"/>
    <n v="146"/>
    <n v="142"/>
    <n v="7236"/>
    <n v="1830"/>
    <n v="9"/>
    <n v="0"/>
    <n v="0"/>
    <n v="0"/>
    <n v="9"/>
    <n v="5837"/>
    <n v="382"/>
    <n v="4567"/>
    <n v="105"/>
    <n v="997"/>
    <n v="4704"/>
    <n v="181"/>
    <n v="1133"/>
    <n v="201"/>
    <n v="137"/>
    <n v="76"/>
    <n v="6.54445776940209E-2"/>
    <n v="2.9124149659863947E-2"/>
    <n v="0.80589343841014216"/>
    <x v="51"/>
    <x v="52"/>
    <n v="0.19410656158985781"/>
    <n v="0"/>
    <n v="0"/>
    <n v="0"/>
    <n v="4.9180327868852463E-3"/>
    <n v="3.3077377436503248E-2"/>
    <n v="0.67292408879144971"/>
    <n v="0.69594409427240345"/>
    <n v="0.30405590572759661"/>
    <s v="Miller Park | East"/>
    <s v="5Y23"/>
  </r>
  <r>
    <x v="53"/>
    <x v="0"/>
    <x v="12"/>
    <n v="4933"/>
    <n v="1920"/>
    <n v="3013"/>
    <n v="441"/>
    <n v="5762"/>
    <n v="19"/>
    <n v="72"/>
    <n v="16"/>
    <n v="13"/>
    <n v="205"/>
    <n v="31"/>
    <n v="5406"/>
    <n v="1614"/>
    <n v="0"/>
    <n v="0"/>
    <n v="0"/>
    <n v="0"/>
    <n v="0"/>
    <n v="3299"/>
    <n v="72"/>
    <n v="2440"/>
    <n v="0"/>
    <n v="356"/>
    <n v="2881"/>
    <n v="72"/>
    <n v="418"/>
    <n v="0"/>
    <n v="441"/>
    <n v="72"/>
    <n v="2.1824795392543193E-2"/>
    <n v="0.15307185005206525"/>
    <n v="0.8732949378599576"/>
    <x v="31"/>
    <x v="53"/>
    <n v="0.12670506214004243"/>
    <n v="0"/>
    <n v="0"/>
    <n v="0"/>
    <n v="0"/>
    <n v="0.14636574842349817"/>
    <n v="0.52138658017433614"/>
    <n v="0.61078451246705856"/>
    <n v="0.38921548753294144"/>
    <s v="Madison Park | East"/>
    <s v="5Y23"/>
  </r>
  <r>
    <x v="54"/>
    <x v="0"/>
    <x v="13"/>
    <n v="8940"/>
    <n v="2045"/>
    <n v="6895"/>
    <n v="391"/>
    <n v="10314"/>
    <n v="355"/>
    <n v="563"/>
    <n v="75"/>
    <n v="161"/>
    <n v="181"/>
    <n v="38"/>
    <n v="8941"/>
    <n v="2414"/>
    <n v="95"/>
    <n v="34"/>
    <n v="26"/>
    <n v="26"/>
    <n v="9"/>
    <n v="7442"/>
    <n v="707"/>
    <n v="6137"/>
    <n v="412"/>
    <n v="1373"/>
    <n v="6528"/>
    <n v="497"/>
    <n v="914"/>
    <n v="210"/>
    <n v="391"/>
    <n v="85"/>
    <n v="9.5001343724805162E-2"/>
    <n v="5.9895833333333336E-2"/>
    <n v="0.87718355280838489"/>
    <x v="52"/>
    <x v="54"/>
    <n v="0.12281644719161516"/>
    <n v="1.4084507042253521E-2"/>
    <n v="1.0770505385252692E-2"/>
    <n v="1.0770505385252692E-2"/>
    <n v="3.728251864125932E-3"/>
    <n v="5.6707759245830311E-2"/>
    <n v="0.72751677852348995"/>
    <n v="0.77125279642058164"/>
    <n v="0.22874720357941836"/>
    <s v="Montlake/Portage Bay | Northeast"/>
    <s v="5Y23"/>
  </r>
  <r>
    <x v="55"/>
    <x v="0"/>
    <x v="13"/>
    <n v="22571"/>
    <n v="10142"/>
    <n v="12429"/>
    <n v="1043"/>
    <n v="14049"/>
    <n v="3881"/>
    <n v="1486"/>
    <n v="491"/>
    <n v="479"/>
    <n v="773"/>
    <n v="308"/>
    <n v="6631"/>
    <n v="1253"/>
    <n v="187"/>
    <n v="14"/>
    <n v="0"/>
    <n v="119"/>
    <n v="54"/>
    <n v="11825"/>
    <n v="4581"/>
    <n v="7962"/>
    <n v="1732"/>
    <n v="7418"/>
    <n v="8332"/>
    <n v="2026"/>
    <n v="3493"/>
    <n v="2555"/>
    <n v="370"/>
    <n v="294"/>
    <n v="0.387399577167019"/>
    <n v="4.4407105136821889E-2"/>
    <n v="0.70460887949260043"/>
    <x v="53"/>
    <x v="55"/>
    <n v="0.29539112050739957"/>
    <n v="1.11731843575419E-2"/>
    <n v="0"/>
    <n v="9.4972067039106142E-2"/>
    <n v="4.3096568236233042E-2"/>
    <n v="8.3916646552417734E-2"/>
    <n v="0.50445261618891502"/>
    <n v="0.5506623543485003"/>
    <n v="0.4493376456514997"/>
    <s v="University District | Northeast"/>
    <s v="5Y23"/>
  </r>
  <r>
    <x v="56"/>
    <x v="0"/>
    <x v="13"/>
    <n v="23569"/>
    <n v="6669"/>
    <n v="16890"/>
    <n v="550"/>
    <n v="26741"/>
    <n v="1819"/>
    <n v="1033"/>
    <n v="627"/>
    <n v="396"/>
    <n v="720"/>
    <n v="316"/>
    <n v="21830"/>
    <n v="5829"/>
    <n v="102"/>
    <n v="10"/>
    <n v="20"/>
    <n v="39"/>
    <n v="33"/>
    <n v="18651"/>
    <n v="2425"/>
    <n v="14898"/>
    <n v="865"/>
    <n v="4911"/>
    <n v="15339"/>
    <n v="1033"/>
    <n v="3302"/>
    <n v="1392"/>
    <n v="441"/>
    <n v="168"/>
    <n v="0.13001983807838721"/>
    <n v="2.8750244474867983E-2"/>
    <n v="0.82242239022036356"/>
    <x v="54"/>
    <x v="56"/>
    <n v="0.17704144549890086"/>
    <n v="1.7155601303825698E-3"/>
    <n v="3.4311202607651397E-3"/>
    <n v="6.6906845084920225E-3"/>
    <n v="5.6613484302624811E-3"/>
    <n v="3.2563647128478389E-2"/>
    <n v="0.69328355042640755"/>
    <n v="0.71661928804785946"/>
    <n v="0.28295642581356867"/>
    <s v="Ravenna/Bryant | Northeast"/>
    <s v="5Y23"/>
  </r>
  <r>
    <x v="57"/>
    <x v="0"/>
    <x v="13"/>
    <n v="14244"/>
    <n v="3911"/>
    <n v="10320"/>
    <n v="393"/>
    <n v="17392"/>
    <n v="171"/>
    <n v="514"/>
    <n v="109"/>
    <n v="214"/>
    <n v="278"/>
    <n v="254"/>
    <n v="15852"/>
    <n v="4742"/>
    <n v="95"/>
    <n v="6"/>
    <n v="89"/>
    <n v="0"/>
    <n v="0"/>
    <n v="10857"/>
    <n v="486"/>
    <n v="9158"/>
    <n v="248"/>
    <n v="1540"/>
    <n v="9438"/>
    <n v="265"/>
    <n v="1406"/>
    <n v="221"/>
    <n v="280"/>
    <n v="17"/>
    <n v="4.4763746891406463E-2"/>
    <n v="2.9667302394575122E-2"/>
    <n v="0.8693009118541033"/>
    <x v="55"/>
    <x v="57"/>
    <n v="0.12950170396978908"/>
    <n v="1.2652889076339097E-3"/>
    <n v="1.8768452129902996E-2"/>
    <n v="0"/>
    <n v="0"/>
    <n v="3.8081395348837206E-2"/>
    <n v="0.69692502106149956"/>
    <n v="0.72451558550968831"/>
    <n v="0.274571749508565"/>
    <s v="Wedgwood/View Ridge | Northeast"/>
    <s v="5Y23"/>
  </r>
  <r>
    <x v="58"/>
    <x v="0"/>
    <x v="13"/>
    <n v="8634"/>
    <n v="3120"/>
    <n v="5485"/>
    <n v="226"/>
    <n v="11147"/>
    <n v="350"/>
    <n v="409"/>
    <n v="72"/>
    <n v="66"/>
    <n v="92"/>
    <n v="28"/>
    <n v="10130"/>
    <n v="3029"/>
    <n v="76"/>
    <n v="18"/>
    <n v="10"/>
    <n v="44"/>
    <n v="4"/>
    <n v="6032"/>
    <n v="524"/>
    <n v="4665"/>
    <n v="203"/>
    <n v="1017"/>
    <n v="4861"/>
    <n v="254"/>
    <n v="1142"/>
    <n v="270"/>
    <n v="196"/>
    <n v="51"/>
    <n v="8.6870026525198943E-2"/>
    <n v="4.0320921621065625E-2"/>
    <n v="0.80586870026525204"/>
    <x v="56"/>
    <x v="58"/>
    <n v="0.1893236074270557"/>
    <n v="5.9425552987784746E-3"/>
    <n v="3.3014196104324861E-3"/>
    <n v="1.4526246285902938E-2"/>
    <n v="1.3205678441729944E-3"/>
    <n v="4.120328167730173E-2"/>
    <n v="0.6091035441278666"/>
    <n v="0.63527912902478578"/>
    <n v="0.36136205698401669"/>
    <s v="Laurelhurst/Sand Point | Northeast"/>
    <s v="5Y23"/>
  </r>
  <r>
    <x v="59"/>
    <x v="0"/>
    <x v="0"/>
    <n v="15064"/>
    <n v="4879"/>
    <n v="10185"/>
    <n v="534"/>
    <n v="17199"/>
    <n v="1266"/>
    <n v="1047"/>
    <n v="587"/>
    <n v="304"/>
    <n v="274"/>
    <n v="282"/>
    <n v="13439"/>
    <n v="3955"/>
    <n v="502"/>
    <n v="12"/>
    <n v="170"/>
    <n v="203"/>
    <n v="117"/>
    <n v="11406"/>
    <n v="1690"/>
    <n v="8865"/>
    <n v="469"/>
    <n v="3760"/>
    <n v="9323"/>
    <n v="527"/>
    <n v="2083"/>
    <n v="1163"/>
    <n v="458"/>
    <n v="58"/>
    <n v="0.14816763107136594"/>
    <n v="4.9125817869784406E-2"/>
    <n v="0.81737681921795546"/>
    <x v="57"/>
    <x v="59"/>
    <n v="0.18262318078204454"/>
    <n v="3.0341340075853351E-3"/>
    <n v="4.2983565107458911E-2"/>
    <n v="5.1327433628318583E-2"/>
    <n v="2.9582806573957017E-2"/>
    <n v="5.2430044182621503E-2"/>
    <n v="0.64066648964418482"/>
    <n v="0.6761152416356877"/>
    <n v="0.32388475836431224"/>
    <s v="Northgate/Maple Leaf | North"/>
    <s v="5Y23"/>
  </r>
  <r>
    <x v="60"/>
    <x v="2"/>
    <x v="14"/>
    <n v="340150"/>
    <n v="92665"/>
    <n v="247082"/>
    <n v="9084"/>
    <n v="402638"/>
    <n v="14775"/>
    <n v="11738"/>
    <n v="5933"/>
    <n v="5735"/>
    <n v="9839"/>
    <n v="4791"/>
    <n v="349827"/>
    <n v="97543"/>
    <n v="3136"/>
    <n v="528"/>
    <n v="793"/>
    <n v="1209"/>
    <n v="606"/>
    <n v="266199"/>
    <n v="17835"/>
    <n v="220723"/>
    <n v="6877"/>
    <n v="52811"/>
    <n v="228766"/>
    <n v="9049"/>
    <n v="37097"/>
    <n v="8786"/>
    <n v="8043"/>
    <n v="2172"/>
    <n v="6.6998749056157242E-2"/>
    <n v="3.5158196585156884E-2"/>
    <n v="0.85937963703845621"/>
    <x v="58"/>
    <x v="60"/>
    <n v="0.13935814935443033"/>
    <n v="5.4129973447607721E-3"/>
    <n v="8.1297479060516899E-3"/>
    <n v="1.2394533692832905E-2"/>
    <n v="6.2126446797822503E-3"/>
    <n v="3.6765122509935973E-2"/>
    <n v="0.69968543289725116"/>
    <n v="0.72639129795678381"/>
    <n v="0.27242393061884462"/>
    <s v="Outside Villages | Outside Villages"/>
    <s v="5Y23"/>
  </r>
  <r>
    <x v="61"/>
    <x v="2"/>
    <x v="15"/>
    <n v="7448"/>
    <n v="1501"/>
    <n v="5947"/>
    <n v="246"/>
    <n v="8062"/>
    <n v="579"/>
    <n v="268"/>
    <n v="123"/>
    <n v="293"/>
    <n v="274"/>
    <n v="155"/>
    <n v="6370"/>
    <n v="1227"/>
    <n v="62"/>
    <n v="0"/>
    <n v="0"/>
    <n v="13"/>
    <n v="49"/>
    <n v="6616"/>
    <n v="647"/>
    <n v="5468"/>
    <n v="155"/>
    <n v="1692"/>
    <n v="5709"/>
    <n v="255"/>
    <n v="907"/>
    <n v="392"/>
    <n v="241"/>
    <n v="100"/>
    <n v="9.7793228536880286E-2"/>
    <n v="4.2214047994394814E-2"/>
    <n v="0.86290810157194675"/>
    <x v="59"/>
    <x v="61"/>
    <n v="0.13709189842805319"/>
    <n v="0"/>
    <n v="0"/>
    <n v="1.0594947025264874E-2"/>
    <n v="3.9934800325998367E-2"/>
    <n v="4.1365394316462079E-2"/>
    <n v="0.76544038668098824"/>
    <n v="0.79846938775510201"/>
    <n v="0.20153061224489796"/>
    <s v="Aurora-Licton Springs | Residential Urban Village"/>
    <s v="5Y23"/>
  </r>
  <r>
    <x v="62"/>
    <x v="2"/>
    <x v="15"/>
    <n v="2707"/>
    <n v="424"/>
    <n v="2253"/>
    <n v="75"/>
    <n v="2880"/>
    <n v="77"/>
    <n v="31"/>
    <n v="98"/>
    <n v="16"/>
    <n v="144"/>
    <n v="0"/>
    <n v="2514"/>
    <n v="626"/>
    <n v="0"/>
    <n v="0"/>
    <n v="0"/>
    <n v="0"/>
    <n v="0"/>
    <n v="2469"/>
    <n v="88"/>
    <n v="2105"/>
    <n v="44"/>
    <n v="366"/>
    <n v="2180"/>
    <n v="44"/>
    <n v="259"/>
    <n v="44"/>
    <n v="75"/>
    <n v="0"/>
    <n v="3.5641960307816932E-2"/>
    <n v="3.4403669724770644E-2"/>
    <n v="0.88294856217091944"/>
    <x v="31"/>
    <x v="62"/>
    <n v="0.10490076954232483"/>
    <n v="0"/>
    <n v="0"/>
    <n v="0"/>
    <n v="0"/>
    <n v="3.3288948069241014E-2"/>
    <n v="0.80458071666050979"/>
    <n v="0.83228666420391573"/>
    <n v="0.15663095677872182"/>
    <s v="Greenwood-Phinney Ridge | Residential Urban Village"/>
    <s v="5Y23"/>
  </r>
  <r>
    <x v="63"/>
    <x v="2"/>
    <x v="15"/>
    <n v="3577"/>
    <n v="763"/>
    <n v="2814"/>
    <n v="71"/>
    <n v="4395"/>
    <n v="66"/>
    <n v="138"/>
    <n v="26"/>
    <n v="12"/>
    <n v="48"/>
    <n v="0"/>
    <n v="4105"/>
    <n v="1051"/>
    <n v="41"/>
    <n v="13"/>
    <n v="0"/>
    <n v="28"/>
    <n v="0"/>
    <n v="2993"/>
    <n v="130"/>
    <n v="2501"/>
    <n v="8"/>
    <n v="290"/>
    <n v="2543"/>
    <n v="24"/>
    <n v="450"/>
    <n v="106"/>
    <n v="42"/>
    <n v="16"/>
    <n v="4.3434680922151685E-2"/>
    <n v="1.6515926071569011E-2"/>
    <n v="0.84964918142332113"/>
    <x v="60"/>
    <x v="63"/>
    <n v="0.15035081857667892"/>
    <n v="1.2369172216936251E-2"/>
    <n v="0"/>
    <n v="2.6641294005708849E-2"/>
    <n v="0"/>
    <n v="2.523098791755508E-2"/>
    <n v="0.76684372379088617"/>
    <n v="0.78669275929549898"/>
    <n v="0.21330724070450097"/>
    <s v="Crown Hill | Residential Urban Village"/>
    <s v="5Y23"/>
  </r>
  <r>
    <x v="64"/>
    <x v="2"/>
    <x v="15"/>
    <n v="4684"/>
    <n v="1137"/>
    <n v="3522"/>
    <n v="36"/>
    <n v="4974"/>
    <n v="174"/>
    <n v="220"/>
    <n v="78"/>
    <n v="32"/>
    <n v="163"/>
    <n v="20"/>
    <n v="4287"/>
    <n v="949"/>
    <n v="28"/>
    <n v="0"/>
    <n v="28"/>
    <n v="0"/>
    <n v="0"/>
    <n v="3860"/>
    <n v="351"/>
    <n v="3238"/>
    <n v="46"/>
    <n v="687"/>
    <n v="3274"/>
    <n v="47"/>
    <n v="561"/>
    <n v="304"/>
    <n v="36"/>
    <n v="1"/>
    <n v="9.0932642487046633E-2"/>
    <n v="1.0995723885155772E-2"/>
    <n v="0.84818652849740928"/>
    <x v="61"/>
    <x v="64"/>
    <n v="0.14533678756476684"/>
    <n v="0"/>
    <n v="2.9504741833508957E-2"/>
    <n v="0"/>
    <n v="0"/>
    <n v="1.0221465076660987E-2"/>
    <n v="0.74423569598633643"/>
    <n v="0.75192143467122119"/>
    <n v="0.24274124679760889"/>
    <s v="Upper Queen Anne | Residential Urban Village"/>
    <s v="5Y23"/>
  </r>
  <r>
    <x v="65"/>
    <x v="2"/>
    <x v="15"/>
    <n v="5663"/>
    <n v="892"/>
    <n v="4771"/>
    <n v="280"/>
    <n v="5852"/>
    <n v="257"/>
    <n v="404"/>
    <n v="35"/>
    <n v="106"/>
    <n v="112"/>
    <n v="18"/>
    <n v="4920"/>
    <n v="954"/>
    <n v="34"/>
    <n v="17"/>
    <n v="0"/>
    <n v="17"/>
    <n v="0"/>
    <n v="5081"/>
    <n v="571"/>
    <n v="4317"/>
    <n v="285"/>
    <n v="932"/>
    <n v="4597"/>
    <n v="402"/>
    <n v="484"/>
    <n v="169"/>
    <n v="280"/>
    <n v="117"/>
    <n v="0.11237945286360952"/>
    <n v="6.0909288666521642E-2"/>
    <n v="0.90474316079511907"/>
    <x v="62"/>
    <x v="65"/>
    <n v="9.5256839204880928E-2"/>
    <n v="1.781970649895178E-2"/>
    <n v="0"/>
    <n v="1.781970649895178E-2"/>
    <n v="0"/>
    <n v="5.8687906099350241E-2"/>
    <n v="0.79304255694861381"/>
    <n v="0.84248631467420099"/>
    <n v="0.15751368532579904"/>
    <s v="Eastlake | Residential Urban Village"/>
    <s v="5Y23"/>
  </r>
  <r>
    <x v="66"/>
    <x v="2"/>
    <x v="15"/>
    <n v="15043"/>
    <n v="4341"/>
    <n v="10652"/>
    <n v="593"/>
    <n v="16424"/>
    <n v="1652"/>
    <n v="1088"/>
    <n v="811"/>
    <n v="357"/>
    <n v="628"/>
    <n v="310"/>
    <n v="11578"/>
    <n v="3319"/>
    <n v="401"/>
    <n v="0"/>
    <n v="144"/>
    <n v="244"/>
    <n v="13"/>
    <n v="11915"/>
    <n v="1440"/>
    <n v="9536"/>
    <n v="546"/>
    <n v="4846"/>
    <n v="10108"/>
    <n v="769"/>
    <n v="1757"/>
    <n v="671"/>
    <n v="572"/>
    <n v="223"/>
    <n v="0.12085606378514478"/>
    <n v="5.6588840522358526E-2"/>
    <n v="0.84834242551405792"/>
    <x v="63"/>
    <x v="66"/>
    <n v="0.14746118338229122"/>
    <n v="0"/>
    <n v="4.3386562217535403E-2"/>
    <n v="7.3516119313046094E-2"/>
    <n v="3.9168424224163903E-3"/>
    <n v="5.5670296657904621E-2"/>
    <n v="0.6686831084225221"/>
    <n v="0.70810343681446519"/>
    <n v="0.28857275809346539"/>
    <s v="23rd &amp; Union-Jackson | Residential Urban Village"/>
    <s v="5Y23"/>
  </r>
  <r>
    <x v="67"/>
    <x v="2"/>
    <x v="15"/>
    <n v="6320"/>
    <n v="1462"/>
    <n v="4858"/>
    <n v="145"/>
    <n v="6966"/>
    <n v="284"/>
    <n v="501"/>
    <n v="176"/>
    <n v="141"/>
    <n v="222"/>
    <n v="127"/>
    <n v="5515"/>
    <n v="1622"/>
    <n v="184"/>
    <n v="43"/>
    <n v="100"/>
    <n v="41"/>
    <n v="0"/>
    <n v="5272"/>
    <n v="412"/>
    <n v="4491"/>
    <n v="260"/>
    <n v="1451"/>
    <n v="4604"/>
    <n v="283"/>
    <n v="668"/>
    <n v="129"/>
    <n v="113"/>
    <n v="23"/>
    <n v="7.8148710166919572E-2"/>
    <n v="2.4543874891398785E-2"/>
    <n v="0.87329286798179062"/>
    <x v="64"/>
    <x v="67"/>
    <n v="0.12670713201820941"/>
    <n v="2.6510480887792849E-2"/>
    <n v="6.1652281134401972E-2"/>
    <n v="2.5277435265104811E-2"/>
    <n v="0"/>
    <n v="2.984767393989296E-2"/>
    <n v="0.7457278481012658"/>
    <n v="0.76867088607594936"/>
    <n v="0.23132911392405064"/>
    <s v="North Beacon Hill | Residential Urban Village"/>
    <s v="5Y23"/>
  </r>
  <r>
    <x v="43"/>
    <x v="2"/>
    <x v="15"/>
    <n v="6515"/>
    <n v="1758"/>
    <n v="4757"/>
    <n v="96"/>
    <n v="8214"/>
    <n v="628"/>
    <n v="1310"/>
    <n v="467"/>
    <n v="106"/>
    <n v="21"/>
    <n v="34"/>
    <n v="5648"/>
    <n v="1793"/>
    <n v="277"/>
    <n v="39"/>
    <n v="0"/>
    <n v="119"/>
    <n v="119"/>
    <n v="5501"/>
    <n v="845"/>
    <n v="4495"/>
    <n v="337"/>
    <n v="2566"/>
    <n v="4566"/>
    <n v="361"/>
    <n v="935"/>
    <n v="484"/>
    <n v="71"/>
    <n v="24"/>
    <n v="0.15360843483003089"/>
    <n v="1.5549715286903198E-2"/>
    <n v="0.83003090347209596"/>
    <x v="65"/>
    <x v="68"/>
    <n v="0.16996909652790401"/>
    <n v="2.1751254880089235E-2"/>
    <n v="0"/>
    <n v="6.6369213608477418E-2"/>
    <n v="6.6369213608477418E-2"/>
    <n v="2.0180786209796089E-2"/>
    <n v="0.71542594013814276"/>
    <n v="0.73016116653875673"/>
    <n v="0.26983883346124327"/>
    <s v="Columbia City | Residential Urban Village"/>
    <s v="5Y23"/>
  </r>
  <r>
    <x v="68"/>
    <x v="2"/>
    <x v="15"/>
    <n v="2277"/>
    <n v="771"/>
    <n v="1506"/>
    <n v="144"/>
    <n v="2742"/>
    <n v="28"/>
    <n v="44"/>
    <n v="133"/>
    <n v="69"/>
    <n v="99"/>
    <n v="155"/>
    <n v="2214"/>
    <n v="648"/>
    <n v="8"/>
    <n v="0"/>
    <n v="0"/>
    <n v="8"/>
    <n v="0"/>
    <n v="1595"/>
    <n v="40"/>
    <n v="1242"/>
    <n v="34"/>
    <n v="528"/>
    <n v="1386"/>
    <n v="38"/>
    <n v="209"/>
    <n v="2"/>
    <n v="144"/>
    <n v="4"/>
    <n v="2.5078369905956112E-2"/>
    <n v="0.1038961038961039"/>
    <n v="0.86896551724137927"/>
    <x v="66"/>
    <x v="69"/>
    <n v="0.1310344827586207"/>
    <n v="0"/>
    <n v="0"/>
    <n v="1.2345679012345678E-2"/>
    <n v="0"/>
    <n v="9.5617529880478086E-2"/>
    <n v="0.59815546772068506"/>
    <n v="0.66139657444005273"/>
    <n v="0.33860342555994732"/>
    <s v="Admiral | Residential Urban Village"/>
    <s v="5Y23"/>
  </r>
  <r>
    <x v="69"/>
    <x v="2"/>
    <x v="16"/>
    <n v="5862"/>
    <n v="1867"/>
    <n v="3995"/>
    <n v="270"/>
    <n v="6922"/>
    <n v="376"/>
    <n v="747"/>
    <n v="83"/>
    <n v="166"/>
    <n v="701"/>
    <n v="44"/>
    <n v="4805"/>
    <n v="1484"/>
    <n v="186"/>
    <n v="51"/>
    <n v="31"/>
    <n v="81"/>
    <n v="23"/>
    <n v="4380"/>
    <n v="520"/>
    <n v="3430"/>
    <n v="220"/>
    <n v="2117"/>
    <n v="3700"/>
    <n v="296"/>
    <n v="680"/>
    <n v="224"/>
    <n v="270"/>
    <n v="76"/>
    <n v="0.11872146118721461"/>
    <n v="7.2972972972972977E-2"/>
    <n v="0.84474885844748859"/>
    <x v="67"/>
    <x v="70"/>
    <n v="0.15525114155251141"/>
    <n v="3.436657681940701E-2"/>
    <n v="2.0889487870619946E-2"/>
    <n v="5.4582210242587602E-2"/>
    <n v="1.5498652291105121E-2"/>
    <n v="6.7584480600750937E-2"/>
    <n v="0.63544865233708636"/>
    <n v="0.68150801774138514"/>
    <n v="0.3184919822586148"/>
    <s v="Bitter Lake Village | Hub Urban Village"/>
    <s v="5Y23"/>
  </r>
  <r>
    <x v="70"/>
    <x v="2"/>
    <x v="15"/>
    <n v="11987"/>
    <n v="4228"/>
    <n v="7752"/>
    <n v="281"/>
    <n v="14316"/>
    <n v="802"/>
    <n v="1936"/>
    <n v="814"/>
    <n v="589"/>
    <n v="729"/>
    <n v="357"/>
    <n v="9089"/>
    <n v="3031"/>
    <n v="377"/>
    <n v="162"/>
    <n v="111"/>
    <n v="62"/>
    <n v="42"/>
    <n v="9200"/>
    <n v="1305"/>
    <n v="7007"/>
    <n v="377"/>
    <n v="5227"/>
    <n v="7234"/>
    <n v="439"/>
    <n v="1959"/>
    <n v="866"/>
    <n v="227"/>
    <n v="62"/>
    <n v="0.14184782608695654"/>
    <n v="3.1379596350566766E-2"/>
    <n v="0.78630434782608694"/>
    <x v="68"/>
    <x v="71"/>
    <n v="0.21293478260869564"/>
    <n v="5.3447707027383703E-2"/>
    <n v="3.6621577037281423E-2"/>
    <n v="2.0455295282085121E-2"/>
    <n v="1.3856812933025405E-2"/>
    <n v="3.6248710010319915E-2"/>
    <n v="0.62325853007424714"/>
    <n v="0.64670059230833399"/>
    <n v="0.35271544172853925"/>
    <s v="Othello | Residential Urban Village"/>
    <s v="5Y23"/>
  </r>
  <r>
    <x v="71"/>
    <x v="2"/>
    <x v="15"/>
    <n v="5235"/>
    <n v="1045"/>
    <n v="4190"/>
    <n v="176"/>
    <n v="6127"/>
    <n v="55"/>
    <n v="168"/>
    <n v="186"/>
    <n v="114"/>
    <n v="126"/>
    <n v="111"/>
    <n v="5367"/>
    <n v="1519"/>
    <n v="19"/>
    <n v="0"/>
    <n v="0"/>
    <n v="0"/>
    <n v="19"/>
    <n v="4252"/>
    <n v="149"/>
    <n v="3857"/>
    <n v="69"/>
    <n v="760"/>
    <n v="3953"/>
    <n v="99"/>
    <n v="299"/>
    <n v="50"/>
    <n v="96"/>
    <n v="30"/>
    <n v="3.5042333019755408E-2"/>
    <n v="2.4285352896534277E-2"/>
    <n v="0.9296801505174036"/>
    <x v="69"/>
    <x v="72"/>
    <n v="7.0319849482596425E-2"/>
    <n v="0"/>
    <n v="0"/>
    <n v="0"/>
    <n v="1.2508229098090849E-2"/>
    <n v="4.2004773269689738E-2"/>
    <n v="0.76676217765042975"/>
    <n v="0.80038204393505252"/>
    <n v="0.19961795606494748"/>
    <s v="Westwood-Highland Park | Residential Urban Village"/>
    <s v="5Y23"/>
  </r>
  <r>
    <x v="36"/>
    <x v="2"/>
    <x v="15"/>
    <n v="3281"/>
    <n v="793"/>
    <n v="2401"/>
    <n v="160"/>
    <n v="4003"/>
    <n v="323"/>
    <n v="558"/>
    <n v="198"/>
    <n v="362"/>
    <n v="172"/>
    <n v="9"/>
    <n v="2381"/>
    <n v="900"/>
    <n v="162"/>
    <n v="52"/>
    <n v="0"/>
    <n v="101"/>
    <n v="9"/>
    <n v="2651"/>
    <n v="470"/>
    <n v="2062"/>
    <n v="205"/>
    <n v="1622"/>
    <n v="2222"/>
    <n v="255"/>
    <n v="342"/>
    <n v="215"/>
    <n v="160"/>
    <n v="50"/>
    <n v="0.17729158807996984"/>
    <n v="7.2007200720072009E-2"/>
    <n v="0.83817427385892118"/>
    <x v="36"/>
    <x v="36"/>
    <n v="0.12900792153904186"/>
    <n v="5.7777777777777775E-2"/>
    <n v="0"/>
    <n v="0.11222222222222222"/>
    <n v="0.01"/>
    <n v="6.6638900458142442E-2"/>
    <n v="0.68302346845473938"/>
    <n v="0.73178908869247183"/>
    <n v="0.2416946053032612"/>
    <s v="South Park | Residential Urban Village"/>
    <s v="5Y23"/>
  </r>
  <r>
    <x v="72"/>
    <x v="2"/>
    <x v="15"/>
    <n v="7960"/>
    <n v="1480"/>
    <n v="6480"/>
    <n v="260"/>
    <n v="8468"/>
    <n v="474"/>
    <n v="363"/>
    <n v="121"/>
    <n v="212"/>
    <n v="110"/>
    <n v="76"/>
    <n v="7112"/>
    <n v="1262"/>
    <n v="15"/>
    <n v="0"/>
    <n v="0"/>
    <n v="15"/>
    <n v="0"/>
    <n v="7137"/>
    <n v="649"/>
    <n v="6054"/>
    <n v="167"/>
    <n v="1356"/>
    <n v="6314"/>
    <n v="232"/>
    <n v="823"/>
    <n v="417"/>
    <n v="260"/>
    <n v="65"/>
    <n v="9.0934566344402404E-2"/>
    <n v="4.1178333861260692E-2"/>
    <n v="0.88468544206249122"/>
    <x v="70"/>
    <x v="73"/>
    <n v="0.11531455793750876"/>
    <n v="0"/>
    <n v="0"/>
    <n v="1.1885895404120444E-2"/>
    <n v="0"/>
    <n v="4.0123456790123455E-2"/>
    <n v="0.78140703517587939"/>
    <n v="0.81407035175879394"/>
    <n v="0.18592964824120603"/>
    <s v="Madison-Miller | Residential Urban Village"/>
    <s v="5Y23"/>
  </r>
  <r>
    <x v="73"/>
    <x v="2"/>
    <x v="16"/>
    <n v="4585"/>
    <n v="1189"/>
    <n v="3396"/>
    <n v="150"/>
    <n v="5355"/>
    <n v="144"/>
    <n v="574"/>
    <n v="231"/>
    <n v="108"/>
    <n v="164"/>
    <n v="60"/>
    <n v="4074"/>
    <n v="896"/>
    <n v="55"/>
    <n v="40"/>
    <n v="0"/>
    <n v="0"/>
    <n v="15"/>
    <n v="3721"/>
    <n v="463"/>
    <n v="3123"/>
    <n v="211"/>
    <n v="1281"/>
    <n v="3273"/>
    <n v="267"/>
    <n v="448"/>
    <n v="196"/>
    <n v="150"/>
    <n v="56"/>
    <n v="0.12442891695780704"/>
    <n v="4.5829514207149404E-2"/>
    <n v="0.87960225745767262"/>
    <x v="71"/>
    <x v="74"/>
    <n v="0.12039774254232734"/>
    <n v="4.4642857142857144E-2"/>
    <n v="0"/>
    <n v="0"/>
    <n v="1.6741071428571428E-2"/>
    <n v="4.4169611307420496E-2"/>
    <n v="0.70796074154852784"/>
    <n v="0.74067611777535447"/>
    <n v="0.25932388222464559"/>
    <s v="Lake City | Hub Urban Village"/>
    <s v="5Y23"/>
  </r>
  <r>
    <x v="74"/>
    <x v="2"/>
    <x v="15"/>
    <n v="4080"/>
    <n v="627"/>
    <n v="3453"/>
    <n v="95"/>
    <n v="4377"/>
    <n v="147"/>
    <n v="208"/>
    <n v="64"/>
    <n v="216"/>
    <n v="105"/>
    <n v="8"/>
    <n v="3629"/>
    <n v="617"/>
    <n v="0"/>
    <n v="0"/>
    <n v="0"/>
    <n v="0"/>
    <n v="0"/>
    <n v="3652"/>
    <n v="355"/>
    <n v="3267"/>
    <n v="206"/>
    <n v="748"/>
    <n v="3351"/>
    <n v="206"/>
    <n v="301"/>
    <n v="149"/>
    <n v="84"/>
    <n v="0"/>
    <n v="9.720700985761227E-2"/>
    <n v="2.5067144136078783E-2"/>
    <n v="0.91757940854326392"/>
    <x v="31"/>
    <x v="75"/>
    <n v="8.2420591456736039E-2"/>
    <n v="0"/>
    <n v="0"/>
    <n v="0"/>
    <n v="0"/>
    <n v="2.7512308137851143E-2"/>
    <n v="0.82303921568627447"/>
    <n v="0.8463235294117647"/>
    <n v="0.1536764705882353"/>
    <s v="Roosevelt | Residential Urban Village"/>
    <s v="5Y23"/>
  </r>
  <r>
    <x v="12"/>
    <x v="2"/>
    <x v="15"/>
    <n v="6336"/>
    <n v="1198"/>
    <n v="5138"/>
    <n v="223"/>
    <n v="7424"/>
    <n v="287"/>
    <n v="251"/>
    <n v="96"/>
    <n v="268"/>
    <n v="271"/>
    <n v="65"/>
    <n v="6186"/>
    <n v="1340"/>
    <n v="23"/>
    <n v="1"/>
    <n v="9"/>
    <n v="13"/>
    <n v="0"/>
    <n v="5527"/>
    <n v="450"/>
    <n v="4750"/>
    <n v="275"/>
    <n v="1238"/>
    <n v="4891"/>
    <n v="275"/>
    <n v="636"/>
    <n v="175"/>
    <n v="141"/>
    <n v="0"/>
    <n v="8.1418491043965979E-2"/>
    <n v="2.8828460437538336E-2"/>
    <n v="0.88492853265786142"/>
    <x v="72"/>
    <x v="76"/>
    <n v="0.11507146734213859"/>
    <n v="7.4626865671641792E-4"/>
    <n v="6.7164179104477612E-3"/>
    <n v="9.7014925373134324E-3"/>
    <n v="0"/>
    <n v="4.3402101985208254E-2"/>
    <n v="0.77572601010101006"/>
    <n v="0.81092171717171713"/>
    <n v="0.18907828282828282"/>
    <s v="Wallingford | Residential Urban Village"/>
    <s v="5Y23"/>
  </r>
  <r>
    <x v="42"/>
    <x v="2"/>
    <x v="15"/>
    <n v="4911"/>
    <n v="1485"/>
    <n v="3403"/>
    <n v="264"/>
    <n v="6428"/>
    <n v="943"/>
    <n v="508"/>
    <n v="547"/>
    <n v="189"/>
    <n v="139"/>
    <n v="34"/>
    <n v="4068"/>
    <n v="1411"/>
    <n v="226"/>
    <n v="18"/>
    <n v="0"/>
    <n v="208"/>
    <n v="0"/>
    <n v="3858"/>
    <n v="703"/>
    <n v="2685"/>
    <n v="129"/>
    <n v="2360"/>
    <n v="2940"/>
    <n v="311"/>
    <n v="895"/>
    <n v="369"/>
    <n v="255"/>
    <n v="182"/>
    <n v="0.18221876620010369"/>
    <n v="8.673469387755102E-2"/>
    <n v="0.76205287713841363"/>
    <x v="73"/>
    <x v="77"/>
    <n v="0.23198548470710212"/>
    <n v="1.2756909992912827E-2"/>
    <n v="0"/>
    <n v="0.147413182140326"/>
    <n v="0"/>
    <n v="7.7578607111372322E-2"/>
    <n v="0.6391773569537772"/>
    <n v="0.6929342292812054"/>
    <n v="0.30238240684178375"/>
    <s v="Rainier Beach | Residential Urban Village"/>
    <s v="5Y23"/>
  </r>
  <r>
    <x v="75"/>
    <x v="2"/>
    <x v="16"/>
    <n v="8337"/>
    <n v="1598"/>
    <n v="6675"/>
    <n v="212"/>
    <n v="8950"/>
    <n v="452"/>
    <n v="447"/>
    <n v="230"/>
    <n v="78"/>
    <n v="249"/>
    <n v="82"/>
    <n v="7412"/>
    <n v="1686"/>
    <n v="65"/>
    <n v="45"/>
    <n v="20"/>
    <n v="0"/>
    <n v="0"/>
    <n v="7216"/>
    <n v="736"/>
    <n v="6283"/>
    <n v="423"/>
    <n v="1538"/>
    <n v="6479"/>
    <n v="482"/>
    <n v="673"/>
    <n v="254"/>
    <n v="196"/>
    <n v="59"/>
    <n v="0.10199556541019955"/>
    <n v="3.0251582034264549E-2"/>
    <n v="0.89786585365853655"/>
    <x v="74"/>
    <x v="78"/>
    <n v="9.3264966740576494E-2"/>
    <n v="2.6690391459074734E-2"/>
    <n v="1.1862396204033215E-2"/>
    <n v="0"/>
    <n v="0"/>
    <n v="3.1760299625468162E-2"/>
    <n v="0.77521890368237978"/>
    <n v="0.80064771500539766"/>
    <n v="0.1916756627084083"/>
    <s v="West Seattle Junction | Hub Urban Village"/>
    <s v="5Y23"/>
  </r>
  <r>
    <x v="76"/>
    <x v="2"/>
    <x v="15"/>
    <n v="4174"/>
    <n v="891"/>
    <n v="3283"/>
    <n v="157"/>
    <n v="4907"/>
    <n v="71"/>
    <n v="337"/>
    <n v="48"/>
    <n v="135"/>
    <n v="81"/>
    <n v="0"/>
    <n v="4235"/>
    <n v="1163"/>
    <n v="0"/>
    <n v="0"/>
    <n v="0"/>
    <n v="0"/>
    <n v="0"/>
    <n v="3476"/>
    <n v="366"/>
    <n v="2958"/>
    <n v="179"/>
    <n v="672"/>
    <n v="3097"/>
    <n v="278"/>
    <n v="379"/>
    <n v="88"/>
    <n v="139"/>
    <n v="99"/>
    <n v="0.10529344073647871"/>
    <n v="4.4882144010332581E-2"/>
    <n v="0.89096662830840045"/>
    <x v="31"/>
    <x v="79"/>
    <n v="0.10903337169159955"/>
    <n v="0"/>
    <n v="0"/>
    <n v="0"/>
    <n v="0"/>
    <n v="4.7822113920194941E-2"/>
    <n v="0.74892189746046955"/>
    <n v="0.78653569717297556"/>
    <n v="0.21346430282702444"/>
    <s v="Morgan Junction | Residential Urban Village"/>
    <s v="5Y23"/>
  </r>
  <r>
    <x v="5"/>
    <x v="2"/>
    <x v="15"/>
    <n v="3544"/>
    <n v="872"/>
    <n v="2672"/>
    <n v="120"/>
    <n v="3601"/>
    <n v="106"/>
    <n v="208"/>
    <n v="57"/>
    <n v="238"/>
    <n v="65"/>
    <n v="28"/>
    <n v="2899"/>
    <n v="576"/>
    <n v="38"/>
    <n v="0"/>
    <n v="0"/>
    <n v="19"/>
    <n v="19"/>
    <n v="2876"/>
    <n v="260"/>
    <n v="2473"/>
    <n v="45"/>
    <n v="702"/>
    <n v="2593"/>
    <n v="71"/>
    <n v="283"/>
    <n v="189"/>
    <n v="120"/>
    <n v="26"/>
    <n v="9.0403337969401948E-2"/>
    <n v="4.627844195912071E-2"/>
    <n v="0.90159944367176637"/>
    <x v="75"/>
    <x v="80"/>
    <n v="9.8400556328233663E-2"/>
    <n v="0"/>
    <n v="0"/>
    <n v="3.2986111111111112E-2"/>
    <n v="3.2986111111111112E-2"/>
    <n v="4.4910179640718563E-2"/>
    <n v="0.72009029345372455"/>
    <n v="0.75395033860045146"/>
    <n v="0.24604966139954854"/>
    <s v="Green Lake | Residential Urban Village"/>
    <s v="5Y23"/>
  </r>
  <r>
    <x v="77"/>
    <x v="2"/>
    <x v="17"/>
    <n v="8534"/>
    <n v="2685"/>
    <n v="5849"/>
    <n v="324"/>
    <n v="9532"/>
    <n v="994"/>
    <n v="622"/>
    <n v="493"/>
    <n v="205"/>
    <n v="154"/>
    <n v="181"/>
    <n v="6883"/>
    <n v="2059"/>
    <n v="421"/>
    <n v="12"/>
    <n v="140"/>
    <n v="152"/>
    <n v="117"/>
    <n v="6659"/>
    <n v="1125"/>
    <n v="5109"/>
    <n v="375"/>
    <n v="2649"/>
    <n v="5358"/>
    <n v="409"/>
    <n v="1301"/>
    <n v="716"/>
    <n v="249"/>
    <n v="34"/>
    <n v="0.16894428592881813"/>
    <n v="4.647256438969765E-2"/>
    <n v="0.80462531911698454"/>
    <x v="76"/>
    <x v="81"/>
    <n v="0.19537468088301546"/>
    <n v="5.8280718795531809E-3"/>
    <n v="6.7994171928120448E-2"/>
    <n v="7.3822243807673632E-2"/>
    <n v="5.6823700825643517E-2"/>
    <n v="5.5394084458881859E-2"/>
    <n v="0.64741035856573703"/>
    <n v="0.68537614248886802"/>
    <n v="0.31462385751113192"/>
    <s v="Northgate | Urban Center"/>
    <s v="5Y23"/>
  </r>
  <r>
    <x v="11"/>
    <x v="2"/>
    <x v="16"/>
    <n v="6852"/>
    <n v="840"/>
    <n v="6012"/>
    <n v="207"/>
    <n v="7297"/>
    <n v="359"/>
    <n v="250"/>
    <n v="79"/>
    <n v="106"/>
    <n v="110"/>
    <n v="61"/>
    <n v="6332"/>
    <n v="1164"/>
    <n v="62"/>
    <n v="5"/>
    <n v="0"/>
    <n v="57"/>
    <n v="0"/>
    <n v="6354"/>
    <n v="362"/>
    <n v="5715"/>
    <n v="148"/>
    <n v="965"/>
    <n v="5908"/>
    <n v="194"/>
    <n v="446"/>
    <n v="168"/>
    <n v="193"/>
    <n v="46"/>
    <n v="5.6971986150456407E-2"/>
    <n v="3.2667569397427217E-2"/>
    <n v="0.92980799496380229"/>
    <x v="77"/>
    <x v="82"/>
    <n v="7.0192005036197672E-2"/>
    <n v="4.2955326460481103E-3"/>
    <n v="0"/>
    <n v="4.8969072164948453E-2"/>
    <n v="0"/>
    <n v="3.4431137724550899E-2"/>
    <n v="0.84719789842381787"/>
    <n v="0.87740805604203154"/>
    <n v="0.12259194395796848"/>
    <s v="Fremont | Hub Urban Village"/>
    <s v="5Y23"/>
  </r>
  <r>
    <x v="10"/>
    <x v="2"/>
    <x v="16"/>
    <n v="18925"/>
    <n v="2724"/>
    <n v="16155"/>
    <n v="679"/>
    <n v="21365"/>
    <n v="629"/>
    <n v="734"/>
    <n v="230"/>
    <n v="191"/>
    <n v="166"/>
    <n v="127"/>
    <n v="19288"/>
    <n v="3657"/>
    <n v="127"/>
    <n v="0"/>
    <n v="0"/>
    <n v="127"/>
    <n v="0"/>
    <n v="17045"/>
    <n v="1045"/>
    <n v="15075"/>
    <n v="489"/>
    <n v="2077"/>
    <n v="15745"/>
    <n v="750"/>
    <n v="1254"/>
    <n v="295"/>
    <n v="670"/>
    <n v="261"/>
    <n v="6.1308301554708122E-2"/>
    <n v="4.2553191489361701E-2"/>
    <n v="0.92373129950132005"/>
    <x v="78"/>
    <x v="83"/>
    <n v="7.3569961865649749E-2"/>
    <n v="0"/>
    <n v="0"/>
    <n v="3.4727919059338253E-2"/>
    <n v="0"/>
    <n v="4.2030331166821415E-2"/>
    <n v="0.81775429326287974"/>
    <n v="0.85363276089828266"/>
    <n v="0.14393659180977542"/>
    <s v="Ballard | Hub Urban Village"/>
    <s v="5Y23"/>
  </r>
  <r>
    <x v="78"/>
    <x v="2"/>
    <x v="16"/>
    <n v="6555"/>
    <n v="1964"/>
    <n v="4591"/>
    <n v="126"/>
    <n v="7836"/>
    <n v="371"/>
    <n v="489"/>
    <n v="221"/>
    <n v="100"/>
    <n v="182"/>
    <n v="98"/>
    <n v="6375"/>
    <n v="1740"/>
    <n v="194"/>
    <n v="0"/>
    <n v="30"/>
    <n v="53"/>
    <n v="111"/>
    <n v="4921"/>
    <n v="488"/>
    <n v="4184"/>
    <n v="286"/>
    <n v="1461"/>
    <n v="4310"/>
    <n v="286"/>
    <n v="611"/>
    <n v="202"/>
    <n v="126"/>
    <n v="0"/>
    <n v="9.9166836008941273E-2"/>
    <n v="2.923433874709977E-2"/>
    <n v="0.87583824425929691"/>
    <x v="79"/>
    <x v="84"/>
    <n v="0.12416175574070311"/>
    <n v="0"/>
    <n v="1.7241379310344827E-2"/>
    <n v="3.0459770114942528E-2"/>
    <n v="6.3793103448275865E-2"/>
    <n v="2.7445001089087345E-2"/>
    <n v="0.6811594202898551"/>
    <n v="0.70038138825324181"/>
    <n v="0.29961861174675819"/>
    <s v="Mt Baker | Hub Urban Village"/>
    <s v="5Y23"/>
  </r>
  <r>
    <x v="79"/>
    <x v="2"/>
    <x v="17"/>
    <n v="11700"/>
    <n v="1900"/>
    <n v="9778"/>
    <n v="508"/>
    <n v="11785"/>
    <n v="888"/>
    <n v="170"/>
    <n v="180"/>
    <n v="261"/>
    <n v="322"/>
    <n v="18"/>
    <n v="9946"/>
    <n v="1277"/>
    <n v="58"/>
    <n v="0"/>
    <n v="0"/>
    <n v="58"/>
    <n v="0"/>
    <n v="10716"/>
    <n v="940"/>
    <n v="9255"/>
    <n v="216"/>
    <n v="1839"/>
    <n v="9705"/>
    <n v="470"/>
    <n v="989"/>
    <n v="470"/>
    <n v="450"/>
    <n v="254"/>
    <n v="8.771929824561403E-2"/>
    <n v="4.6367851622874809E-2"/>
    <n v="0.90565509518477039"/>
    <x v="80"/>
    <x v="85"/>
    <n v="9.2291899962672633E-2"/>
    <n v="0"/>
    <n v="0"/>
    <n v="4.541895066562255E-2"/>
    <n v="0"/>
    <n v="5.1953364696256901E-2"/>
    <n v="0.79230769230769227"/>
    <n v="0.83572649572649571"/>
    <n v="0.1623931623931624"/>
    <s v="South Lake Union | Urban Center"/>
    <s v="5Y23"/>
  </r>
  <r>
    <x v="55"/>
    <x v="2"/>
    <x v="17"/>
    <n v="28848"/>
    <n v="12959"/>
    <n v="15889"/>
    <n v="1117"/>
    <n v="19452"/>
    <n v="5457"/>
    <n v="2222"/>
    <n v="877"/>
    <n v="1053"/>
    <n v="1191"/>
    <n v="371"/>
    <n v="8281"/>
    <n v="1687"/>
    <n v="314"/>
    <n v="10"/>
    <n v="41"/>
    <n v="158"/>
    <n v="105"/>
    <n v="17042"/>
    <n v="6728"/>
    <n v="10958"/>
    <n v="2493"/>
    <n v="11171"/>
    <n v="11386"/>
    <n v="2848"/>
    <n v="5656"/>
    <n v="3880"/>
    <n v="428"/>
    <n v="355"/>
    <n v="0.39478934397371201"/>
    <n v="3.7590022835060598E-2"/>
    <n v="0.66811407111841337"/>
    <x v="81"/>
    <x v="86"/>
    <n v="0.33188592888158669"/>
    <n v="5.9276822762299938E-3"/>
    <n v="2.4303497332542976E-2"/>
    <n v="9.3657379964433907E-2"/>
    <n v="6.2240663900414939E-2"/>
    <n v="7.0300207690855307E-2"/>
    <n v="0.51206322795341097"/>
    <n v="0.55078341652800888"/>
    <n v="0.44921658347199112"/>
    <s v="University District | Urban Center"/>
    <s v="5Y23"/>
  </r>
  <r>
    <x v="80"/>
    <x v="2"/>
    <x v="17"/>
    <n v="12593"/>
    <n v="2091"/>
    <n v="10502"/>
    <n v="561"/>
    <n v="12624"/>
    <n v="732"/>
    <n v="489"/>
    <n v="235"/>
    <n v="82"/>
    <n v="196"/>
    <n v="55"/>
    <n v="10835"/>
    <n v="1881"/>
    <n v="122"/>
    <n v="0"/>
    <n v="0"/>
    <n v="0"/>
    <n v="122"/>
    <n v="11045"/>
    <n v="935"/>
    <n v="9724"/>
    <n v="300"/>
    <n v="1789"/>
    <n v="10231"/>
    <n v="355"/>
    <n v="814"/>
    <n v="580"/>
    <n v="507"/>
    <n v="55"/>
    <n v="8.4653689452240832E-2"/>
    <n v="4.9555273189326558E-2"/>
    <n v="0.92630149388863736"/>
    <x v="82"/>
    <x v="87"/>
    <n v="7.3698506111362611E-2"/>
    <n v="0"/>
    <n v="0"/>
    <n v="0"/>
    <n v="6.4859117490696436E-2"/>
    <n v="5.3418396495905539E-2"/>
    <n v="0.78940681330898121"/>
    <n v="0.83395537203208137"/>
    <n v="0.16604462796791869"/>
    <s v="Uptown | Urban Center"/>
    <s v="5Y23"/>
  </r>
  <r>
    <x v="81"/>
    <x v="2"/>
    <x v="17"/>
    <n v="41847"/>
    <n v="10750"/>
    <n v="30753"/>
    <n v="1341"/>
    <n v="41163"/>
    <n v="2965"/>
    <n v="3311"/>
    <n v="1594"/>
    <n v="1485"/>
    <n v="942"/>
    <n v="487"/>
    <n v="30379"/>
    <n v="6535"/>
    <n v="463"/>
    <n v="0"/>
    <n v="363"/>
    <n v="81"/>
    <n v="19"/>
    <n v="34752"/>
    <n v="4352"/>
    <n v="28196"/>
    <n v="1663"/>
    <n v="10784"/>
    <n v="29417"/>
    <n v="2112"/>
    <n v="5172"/>
    <n v="2240"/>
    <n v="1221"/>
    <n v="449"/>
    <n v="0.12523020257826889"/>
    <n v="4.1506611823095486E-2"/>
    <n v="0.84648365561694294"/>
    <x v="83"/>
    <x v="88"/>
    <n v="0.14882596685082872"/>
    <n v="0"/>
    <n v="5.5547054322876814E-2"/>
    <n v="1.2394797245600612E-2"/>
    <n v="2.9074215761285389E-3"/>
    <n v="4.3605501902253437E-2"/>
    <n v="0.70284608215642697"/>
    <n v="0.73489139006380388"/>
    <n v="0.25688818792267071"/>
    <s v="Downtown | Urban Center"/>
    <s v="5Y23"/>
  </r>
  <r>
    <x v="82"/>
    <x v="2"/>
    <x v="17"/>
    <n v="47962"/>
    <n v="9165"/>
    <n v="38763"/>
    <n v="2308"/>
    <n v="47434"/>
    <n v="3741"/>
    <n v="2201"/>
    <n v="1237"/>
    <n v="916"/>
    <n v="1630"/>
    <n v="898"/>
    <n v="36811"/>
    <n v="5544"/>
    <n v="362"/>
    <n v="31"/>
    <n v="190"/>
    <n v="86"/>
    <n v="55"/>
    <n v="41482"/>
    <n v="4438"/>
    <n v="35177"/>
    <n v="1793"/>
    <n v="10623"/>
    <n v="37220"/>
    <n v="2596"/>
    <n v="4228"/>
    <n v="1842"/>
    <n v="2043"/>
    <n v="803"/>
    <n v="0.10698616267296658"/>
    <n v="5.488984416980118E-2"/>
    <n v="0.89725664143483919"/>
    <x v="84"/>
    <x v="89"/>
    <n v="0.10192372595342558"/>
    <n v="5.591630591630592E-3"/>
    <n v="3.4271284271284272E-2"/>
    <n v="1.5512265512265512E-2"/>
    <n v="9.9206349206349201E-3"/>
    <n v="5.9541315171684338E-2"/>
    <n v="0.76008089737709017"/>
    <n v="0.80820232684208326"/>
    <n v="0.19108877861640466"/>
    <s v="First Hill/Capitol Hill | Urban Center"/>
    <s v="5Y23"/>
  </r>
  <r>
    <x v="83"/>
    <x v="2"/>
    <x v="18"/>
    <n v="469"/>
    <n v="102"/>
    <n v="367"/>
    <n v="0"/>
    <n v="497"/>
    <n v="6"/>
    <n v="15"/>
    <n v="53"/>
    <n v="0"/>
    <n v="30"/>
    <n v="0"/>
    <n v="393"/>
    <n v="76"/>
    <n v="0"/>
    <n v="0"/>
    <n v="0"/>
    <n v="0"/>
    <n v="0"/>
    <n v="389"/>
    <n v="13"/>
    <n v="361"/>
    <n v="7"/>
    <n v="104"/>
    <n v="361"/>
    <n v="7"/>
    <n v="28"/>
    <n v="6"/>
    <n v="0"/>
    <n v="0"/>
    <n v="3.3419023136246784E-2"/>
    <n v="0"/>
    <n v="0.92802056555269918"/>
    <x v="31"/>
    <x v="90"/>
    <n v="7.1979434447300775E-2"/>
    <n v="0"/>
    <n v="0"/>
    <n v="0"/>
    <n v="0"/>
    <n v="0"/>
    <n v="0.78251599147121531"/>
    <n v="0.78251599147121531"/>
    <n v="0.21748400852878466"/>
    <s v="Greater Duwamish | Manufacturing Industrial"/>
    <s v="5Y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s v="Olympic Hills/Victory Heights"/>
    <s v="CRA"/>
    <x v="0"/>
    <n v="14516"/>
    <n v="3751"/>
    <n v="10745"/>
    <n v="574"/>
    <n v="17039"/>
    <n v="670"/>
    <n v="717"/>
    <n v="376"/>
    <n v="426"/>
    <n v="594"/>
    <n v="168"/>
    <n v="14088"/>
    <n v="3765"/>
    <n v="156"/>
    <n v="0"/>
    <n v="29"/>
    <n v="67"/>
    <n v="60"/>
    <n v="11633"/>
    <n v="887"/>
    <n v="9637"/>
    <n v="392"/>
    <n v="2951"/>
    <n v="10165"/>
    <n v="594"/>
    <n v="1448"/>
    <n v="293"/>
    <n v="528"/>
    <n v="202"/>
    <n v="7.624860311183701E-2"/>
    <x v="0"/>
    <n v="0.87380727241468237"/>
    <x v="0"/>
    <n v="0.82841915241124386"/>
    <n v="0.12447348061549042"/>
    <n v="0"/>
    <n v="7.7025232403718459E-3"/>
    <n v="1.7795484727755644E-2"/>
    <n v="1.5936254980079681E-2"/>
    <n v="5.3420195439739415E-2"/>
    <n v="0.70067511711215213"/>
    <n v="0.74021769082391842"/>
    <n v="0.25840451915128132"/>
    <s v="Olympic Hills/Victory Heights | North"/>
    <s v="5Y23"/>
  </r>
  <r>
    <s v="Cedar Park/Meadowbrook"/>
    <s v="CRA"/>
    <x v="0"/>
    <n v="12513"/>
    <n v="3677"/>
    <n v="8836"/>
    <n v="259"/>
    <n v="14445"/>
    <n v="498"/>
    <n v="824"/>
    <n v="497"/>
    <n v="287"/>
    <n v="582"/>
    <n v="119"/>
    <n v="11638"/>
    <n v="3442"/>
    <n v="169"/>
    <n v="54"/>
    <n v="28"/>
    <n v="49"/>
    <n v="38"/>
    <n v="9389"/>
    <n v="843"/>
    <n v="7774"/>
    <n v="250"/>
    <n v="2807"/>
    <n v="7985"/>
    <n v="321"/>
    <n v="1404"/>
    <n v="522"/>
    <n v="211"/>
    <n v="71"/>
    <n v="8.9785919693258068E-2"/>
    <x v="1"/>
    <n v="0.85046330812653104"/>
    <x v="1"/>
    <n v="0.82799020129939294"/>
    <n v="0.14953669187346896"/>
    <n v="1.568855316676351E-2"/>
    <n v="8.1348053457292267E-3"/>
    <n v="1.4235909355026147E-2"/>
    <n v="1.1040092969203951E-2"/>
    <n v="2.931190583974649E-2"/>
    <n v="0.68544713497962118"/>
    <n v="0.70614560856709019"/>
    <n v="0.29385439143290976"/>
    <s v="Cedar Park/Meadowbrook | North"/>
    <s v="5Y23"/>
  </r>
  <r>
    <s v="Broadview/Bitter Lake"/>
    <s v="CRA"/>
    <x v="1"/>
    <n v="13260"/>
    <n v="4753"/>
    <n v="8507"/>
    <n v="356"/>
    <n v="15645"/>
    <n v="676"/>
    <n v="1105"/>
    <n v="173"/>
    <n v="291"/>
    <n v="898"/>
    <n v="118"/>
    <n v="12384"/>
    <n v="3478"/>
    <n v="242"/>
    <n v="9"/>
    <n v="49"/>
    <n v="161"/>
    <n v="23"/>
    <n v="9295"/>
    <n v="861"/>
    <n v="7454"/>
    <n v="285"/>
    <n v="3261"/>
    <n v="7776"/>
    <n v="371"/>
    <n v="1519"/>
    <n v="490"/>
    <n v="322"/>
    <n v="86"/>
    <n v="9.263044647660032E-2"/>
    <x v="2"/>
    <n v="0.836578805809575"/>
    <x v="2"/>
    <n v="0.80193652501344814"/>
    <n v="0.16342119419042497"/>
    <n v="2.5876940770557791E-3"/>
    <n v="1.4088556641748131E-2"/>
    <n v="4.6290971822886717E-2"/>
    <n v="6.6129959746981026E-3"/>
    <n v="4.1847889972963445E-2"/>
    <n v="0.61470588235294121"/>
    <n v="0.64155354449472102"/>
    <n v="0.35844645550527904"/>
    <s v="Broadview/Bitter Lake | Northwest"/>
    <s v="5Y23"/>
  </r>
  <r>
    <s v="Licton Springs"/>
    <s v="CRA"/>
    <x v="1"/>
    <n v="8798"/>
    <n v="1895"/>
    <n v="6903"/>
    <n v="267"/>
    <n v="9597"/>
    <n v="631"/>
    <n v="429"/>
    <n v="145"/>
    <n v="310"/>
    <n v="411"/>
    <n v="155"/>
    <n v="7516"/>
    <n v="1580"/>
    <n v="92"/>
    <n v="0"/>
    <n v="13"/>
    <n v="13"/>
    <n v="66"/>
    <n v="7609"/>
    <n v="712"/>
    <n v="6339"/>
    <n v="201"/>
    <n v="2081"/>
    <n v="6601"/>
    <n v="301"/>
    <n v="1008"/>
    <n v="411"/>
    <n v="262"/>
    <n v="100"/>
    <n v="9.3573399921146008E-2"/>
    <x v="3"/>
    <n v="0.86752529898804043"/>
    <x v="3"/>
    <n v="0.83309239059009066"/>
    <n v="0.13247470101195952"/>
    <n v="0"/>
    <n v="8.2278481012658233E-3"/>
    <n v="8.2278481012658233E-3"/>
    <n v="4.1772151898734178E-2"/>
    <n v="3.867883528900478E-2"/>
    <n v="0.75426233234826101"/>
    <n v="0.7846101386678791"/>
    <n v="0.21538986133212093"/>
    <s v="Licton Springs | Northwest"/>
    <s v="5Y23"/>
  </r>
  <r>
    <s v="Greenwood/Phinney Ridge"/>
    <s v="CRA"/>
    <x v="1"/>
    <n v="23396"/>
    <n v="4985"/>
    <n v="18381"/>
    <n v="565"/>
    <n v="26912"/>
    <n v="854"/>
    <n v="371"/>
    <n v="241"/>
    <n v="395"/>
    <n v="417"/>
    <n v="335"/>
    <n v="24299"/>
    <n v="6376"/>
    <n v="117"/>
    <n v="35"/>
    <n v="12"/>
    <n v="65"/>
    <n v="5"/>
    <n v="19323"/>
    <n v="886"/>
    <n v="16629"/>
    <n v="324"/>
    <n v="2613"/>
    <n v="17105"/>
    <n v="456"/>
    <n v="2188"/>
    <n v="430"/>
    <n v="476"/>
    <n v="132"/>
    <n v="4.5852093360244268E-2"/>
    <x v="4"/>
    <n v="0.88521451120426431"/>
    <x v="4"/>
    <n v="0.86058065517776738"/>
    <n v="0.11323293484448585"/>
    <n v="5.4893350062735257E-3"/>
    <n v="1.8820577164366374E-3"/>
    <n v="1.019447929736512E-2"/>
    <n v="7.8419071518193227E-4"/>
    <n v="3.0738262336107939E-2"/>
    <n v="0.76149769191314753"/>
    <n v="0.78564711916566932"/>
    <n v="0.21307061036074543"/>
    <s v="Greenwood/Phinney Ridge | Northwest"/>
    <s v="5Y23"/>
  </r>
  <r>
    <s v="Green Lake"/>
    <s v="CRA"/>
    <x v="1"/>
    <n v="15265"/>
    <n v="3477"/>
    <n v="11779"/>
    <n v="498"/>
    <n v="17425"/>
    <n v="513"/>
    <n v="784"/>
    <n v="338"/>
    <n v="463"/>
    <n v="431"/>
    <n v="96"/>
    <n v="14800"/>
    <n v="3726"/>
    <n v="92"/>
    <n v="7"/>
    <n v="9"/>
    <n v="50"/>
    <n v="26"/>
    <n v="12509"/>
    <n v="966"/>
    <n v="10702"/>
    <n v="289"/>
    <n v="2625"/>
    <n v="11200"/>
    <n v="441"/>
    <n v="1300"/>
    <n v="525"/>
    <n v="498"/>
    <n v="152"/>
    <n v="7.7224398433128144E-2"/>
    <x v="5"/>
    <n v="0.89535534415221041"/>
    <x v="5"/>
    <n v="0.85554400831401389"/>
    <n v="0.10392517387481014"/>
    <n v="1.878690284487386E-3"/>
    <n v="2.4154589371980675E-3"/>
    <n v="1.3419216317767043E-2"/>
    <n v="6.9779924852388618E-3"/>
    <n v="4.2278631462772734E-2"/>
    <n v="0.73901080904028826"/>
    <n v="0.7716344579102522"/>
    <n v="0.22777595807402554"/>
    <s v="Green Lake | Northwest"/>
    <s v="5Y23"/>
  </r>
  <r>
    <s v="Haller Lake"/>
    <s v="CRA"/>
    <x v="1"/>
    <n v="8986"/>
    <n v="2220"/>
    <n v="6766"/>
    <n v="316"/>
    <n v="10866"/>
    <n v="512"/>
    <n v="325"/>
    <n v="103"/>
    <n v="126"/>
    <n v="156"/>
    <n v="89"/>
    <n v="9555"/>
    <n v="2632"/>
    <n v="127"/>
    <n v="51"/>
    <n v="0"/>
    <n v="76"/>
    <n v="0"/>
    <n v="7420"/>
    <n v="433"/>
    <n v="6080"/>
    <n v="264"/>
    <n v="1311"/>
    <n v="6364"/>
    <n v="342"/>
    <n v="1056"/>
    <n v="91"/>
    <n v="284"/>
    <n v="78"/>
    <n v="5.8355795148247978E-2"/>
    <x v="6"/>
    <n v="0.85768194070080861"/>
    <x v="6"/>
    <n v="0.81940700808625333"/>
    <n v="0.14231805929919136"/>
    <n v="1.9376899696048631E-2"/>
    <n v="0"/>
    <n v="2.8875379939209727E-2"/>
    <n v="0"/>
    <n v="4.6704108779190068E-2"/>
    <n v="0.71778321833963943"/>
    <n v="0.7529490318272869"/>
    <n v="0.2470509681727131"/>
    <s v="Haller Lake | Northwest"/>
    <s v="5Y23"/>
  </r>
  <r>
    <s v="North Beach/Blue Ridge"/>
    <s v="CRA"/>
    <x v="2"/>
    <n v="10485"/>
    <n v="2784"/>
    <n v="7654"/>
    <n v="343"/>
    <n v="12716"/>
    <n v="252"/>
    <n v="601"/>
    <n v="83"/>
    <n v="141"/>
    <n v="144"/>
    <n v="112"/>
    <n v="11383"/>
    <n v="3294"/>
    <n v="136"/>
    <n v="30"/>
    <n v="0"/>
    <n v="36"/>
    <n v="70"/>
    <n v="8116"/>
    <n v="690"/>
    <n v="6776"/>
    <n v="278"/>
    <n v="1333"/>
    <n v="7119"/>
    <n v="444"/>
    <n v="950"/>
    <n v="246"/>
    <n v="343"/>
    <n v="166"/>
    <n v="8.5017249876786591E-2"/>
    <x v="7"/>
    <n v="0.87715623459832426"/>
    <x v="7"/>
    <n v="0.83489403647116811"/>
    <n v="0.11705273533760473"/>
    <n v="9.1074681238615673E-3"/>
    <n v="0"/>
    <n v="1.092896174863388E-2"/>
    <n v="2.1250758955676987E-2"/>
    <n v="4.4813169584530965E-2"/>
    <n v="0.69728183118741061"/>
    <n v="0.72999523128278498"/>
    <n v="0.26552217453505006"/>
    <s v="North Beach/Blue Ridge | Ballard"/>
    <s v="5Y23"/>
  </r>
  <r>
    <s v="Whittier Heights"/>
    <s v="CRA"/>
    <x v="2"/>
    <n v="12384"/>
    <n v="2446"/>
    <n v="9938"/>
    <n v="173"/>
    <n v="14552"/>
    <n v="402"/>
    <n v="522"/>
    <n v="48"/>
    <n v="159"/>
    <n v="258"/>
    <n v="107"/>
    <n v="13056"/>
    <n v="3363"/>
    <n v="107"/>
    <n v="0"/>
    <n v="0"/>
    <n v="55"/>
    <n v="52"/>
    <n v="10946"/>
    <n v="750"/>
    <n v="9445"/>
    <n v="307"/>
    <n v="1496"/>
    <n v="9609"/>
    <n v="376"/>
    <n v="1337"/>
    <n v="374"/>
    <n v="164"/>
    <n v="69"/>
    <n v="6.8518180157135025E-2"/>
    <x v="8"/>
    <n v="0.87785492417321398"/>
    <x v="8"/>
    <n v="0.86287228211218714"/>
    <n v="0.12214507582678603"/>
    <n v="0"/>
    <n v="0"/>
    <n v="1.6354445435622957E-2"/>
    <n v="1.5462384775498068E-2"/>
    <n v="1.7407929160796941E-2"/>
    <n v="0.78851744186046513"/>
    <n v="0.80248708010335912"/>
    <n v="0.19751291989664083"/>
    <s v="Whittier Heights | Ballard"/>
    <s v="5Y23"/>
  </r>
  <r>
    <s v="Sunset Hill/Loyal Heights"/>
    <s v="CRA"/>
    <x v="2"/>
    <n v="13443"/>
    <n v="3746"/>
    <n v="9638"/>
    <n v="307"/>
    <n v="16151"/>
    <n v="221"/>
    <n v="404"/>
    <n v="172"/>
    <n v="67"/>
    <n v="164"/>
    <n v="110"/>
    <n v="15013"/>
    <n v="3652"/>
    <n v="95"/>
    <n v="11"/>
    <n v="14"/>
    <n v="70"/>
    <n v="0"/>
    <n v="10227"/>
    <n v="323"/>
    <n v="8635"/>
    <n v="152"/>
    <n v="1138"/>
    <n v="8883"/>
    <n v="152"/>
    <n v="1285"/>
    <n v="171"/>
    <n v="248"/>
    <n v="0"/>
    <n v="3.1583064437273885E-2"/>
    <x v="9"/>
    <n v="0.86858316221765919"/>
    <x v="9"/>
    <n v="0.84433362667448908"/>
    <n v="0.12564779505231249"/>
    <n v="3.0120481927710845E-3"/>
    <n v="3.8335158817086527E-3"/>
    <n v="1.9167579408543262E-2"/>
    <n v="0"/>
    <n v="3.1853081552189251E-2"/>
    <n v="0.69411589674923757"/>
    <n v="0.7169530610726772"/>
    <n v="0.27865803764040764"/>
    <s v="Sunset Hill/Loyal Heights | Ballard"/>
    <s v="5Y23"/>
  </r>
  <r>
    <s v="Ballard"/>
    <s v="CRA"/>
    <x v="2"/>
    <n v="10105"/>
    <n v="1484"/>
    <n v="8621"/>
    <n v="557"/>
    <n v="11165"/>
    <n v="470"/>
    <n v="261"/>
    <n v="110"/>
    <n v="62"/>
    <n v="106"/>
    <n v="23"/>
    <n v="10133"/>
    <n v="1641"/>
    <n v="23"/>
    <n v="0"/>
    <n v="0"/>
    <n v="23"/>
    <n v="0"/>
    <n v="9111"/>
    <n v="651"/>
    <n v="7915"/>
    <n v="188"/>
    <n v="1032"/>
    <n v="8472"/>
    <n v="449"/>
    <n v="639"/>
    <n v="202"/>
    <n v="557"/>
    <n v="261"/>
    <n v="7.1452090879157062E-2"/>
    <x v="10"/>
    <n v="0.92986499835363845"/>
    <x v="10"/>
    <n v="0.86873010646471294"/>
    <n v="7.0135001646361536E-2"/>
    <n v="0"/>
    <n v="0"/>
    <n v="1.4015843997562462E-2"/>
    <n v="0"/>
    <n v="6.4609674051734137E-2"/>
    <n v="0.79802078179119251"/>
    <n v="0.85314200890648195"/>
    <n v="0.14685799109351805"/>
    <s v="Ballard | Ballard"/>
    <s v="5Y23"/>
  </r>
  <r>
    <s v="Fremont"/>
    <s v="CRA"/>
    <x v="3"/>
    <n v="17122"/>
    <n v="2510"/>
    <n v="14584"/>
    <n v="434"/>
    <n v="18373"/>
    <n v="577"/>
    <n v="517"/>
    <n v="162"/>
    <n v="226"/>
    <n v="300"/>
    <n v="125"/>
    <n v="16466"/>
    <n v="3288"/>
    <n v="133"/>
    <n v="5"/>
    <n v="63"/>
    <n v="57"/>
    <n v="8"/>
    <n v="15320"/>
    <n v="772"/>
    <n v="13709"/>
    <n v="346"/>
    <n v="1907"/>
    <n v="14113"/>
    <n v="407"/>
    <n v="1179"/>
    <n v="365"/>
    <n v="404"/>
    <n v="61"/>
    <n v="5.0391644908616189E-2"/>
    <x v="11"/>
    <n v="0.92121409921671016"/>
    <x v="11"/>
    <n v="0.89484334203655358"/>
    <n v="7.6958224543080933E-2"/>
    <n v="1.5206812652068127E-3"/>
    <n v="1.916058394160584E-2"/>
    <n v="1.7335766423357664E-2"/>
    <n v="2.4330900243309003E-3"/>
    <n v="2.9758639605046627E-2"/>
    <n v="0.82642214694545035"/>
    <n v="0.85176965307791142"/>
    <n v="0.14659502394580073"/>
    <s v="Fremont | Lake Union"/>
    <s v="5Y23"/>
  </r>
  <r>
    <s v="Wallingford"/>
    <s v="CRA"/>
    <x v="3"/>
    <n v="16349"/>
    <n v="3213"/>
    <n v="13136"/>
    <n v="532"/>
    <n v="18422"/>
    <n v="1407"/>
    <n v="836"/>
    <n v="200"/>
    <n v="697"/>
    <n v="501"/>
    <n v="199"/>
    <n v="14582"/>
    <n v="3166"/>
    <n v="110"/>
    <n v="12"/>
    <n v="30"/>
    <n v="29"/>
    <n v="39"/>
    <n v="14327"/>
    <n v="2057"/>
    <n v="11961"/>
    <n v="1043"/>
    <n v="3840"/>
    <n v="12404"/>
    <n v="1199"/>
    <n v="1923"/>
    <n v="858"/>
    <n v="443"/>
    <n v="156"/>
    <n v="0.1435750680533259"/>
    <x v="12"/>
    <n v="0.86577790186361414"/>
    <x v="12"/>
    <n v="0.83485726251134218"/>
    <n v="0.13422209813638583"/>
    <n v="3.7902716361339229E-3"/>
    <n v="9.4756790903348081E-3"/>
    <n v="9.1598231206569802E-3"/>
    <n v="1.2318382817435249E-2"/>
    <n v="4.0499390986601706E-2"/>
    <n v="0.77093400207963791"/>
    <n v="0.80347421860664259"/>
    <n v="0.19652578139335738"/>
    <s v="Wallingford | Lake Union"/>
    <s v="5Y23"/>
  </r>
  <r>
    <s v="Cascade/Eastlake"/>
    <s v="CRA"/>
    <x v="3"/>
    <n v="27801"/>
    <n v="4791"/>
    <n v="22974"/>
    <n v="1177"/>
    <n v="27955"/>
    <n v="2026"/>
    <n v="794"/>
    <n v="531"/>
    <n v="839"/>
    <n v="699"/>
    <n v="111"/>
    <n v="22955"/>
    <n v="3783"/>
    <n v="152"/>
    <n v="19"/>
    <n v="75"/>
    <n v="58"/>
    <n v="0"/>
    <n v="24983"/>
    <n v="2241"/>
    <n v="21352"/>
    <n v="860"/>
    <n v="5000"/>
    <n v="22412"/>
    <n v="1353"/>
    <n v="2535"/>
    <n v="888"/>
    <n v="1060"/>
    <n v="493"/>
    <n v="8.9700996677740868E-2"/>
    <x v="13"/>
    <n v="0.89709002121442583"/>
    <x v="13"/>
    <n v="0.85466116959532479"/>
    <n v="0.1014689989192651"/>
    <n v="5.0224689399947136E-3"/>
    <n v="1.9825535289452814E-2"/>
    <n v="1.5331747290510176E-2"/>
    <n v="0"/>
    <n v="5.1231827283015584E-2"/>
    <n v="0.7840365454480055"/>
    <n v="0.82637315204489048"/>
    <n v="0.17233193050609691"/>
    <s v="Cascade/Eastlake | Lake Union"/>
    <s v="5Y23"/>
  </r>
  <r>
    <s v="Magnolia"/>
    <s v="CRA"/>
    <x v="4"/>
    <n v="10603"/>
    <n v="3210"/>
    <n v="7393"/>
    <n v="144"/>
    <n v="13750"/>
    <n v="285"/>
    <n v="128"/>
    <n v="177"/>
    <n v="79"/>
    <n v="281"/>
    <n v="146"/>
    <n v="12654"/>
    <n v="3834"/>
    <n v="77"/>
    <n v="9"/>
    <n v="58"/>
    <n v="10"/>
    <n v="0"/>
    <n v="7845"/>
    <n v="231"/>
    <n v="6463"/>
    <n v="84"/>
    <n v="1096"/>
    <n v="6607"/>
    <n v="97"/>
    <n v="1238"/>
    <n v="134"/>
    <n v="144"/>
    <n v="13"/>
    <n v="2.9445506692160613E-2"/>
    <x v="14"/>
    <n v="0.84219247928616958"/>
    <x v="14"/>
    <n v="0.82383683875079672"/>
    <n v="0.15780752071383047"/>
    <n v="2.3474178403755869E-3"/>
    <n v="1.5127803860198226E-2"/>
    <n v="2.6082420448617634E-3"/>
    <n v="0"/>
    <n v="1.9477884485323955E-2"/>
    <n v="0.68367443176459497"/>
    <n v="0.69725549372819018"/>
    <n v="0.30274450627180988"/>
    <s v="Magnolia | Magnolia/Queen Anne"/>
    <s v="5Y23"/>
  </r>
  <r>
    <s v="Interbay"/>
    <s v="CRA"/>
    <x v="4"/>
    <n v="10731"/>
    <n v="1708"/>
    <n v="8956"/>
    <n v="308"/>
    <n v="11990"/>
    <n v="533"/>
    <n v="461"/>
    <n v="278"/>
    <n v="180"/>
    <n v="177"/>
    <n v="52"/>
    <n v="10309"/>
    <n v="2568"/>
    <n v="71"/>
    <n v="38"/>
    <n v="22"/>
    <n v="11"/>
    <n v="0"/>
    <n v="9405"/>
    <n v="819"/>
    <n v="8228"/>
    <n v="411"/>
    <n v="1681"/>
    <n v="8519"/>
    <n v="507"/>
    <n v="886"/>
    <n v="312"/>
    <n v="291"/>
    <n v="96"/>
    <n v="8.7081339712918662E-2"/>
    <x v="15"/>
    <n v="0.90579479000531637"/>
    <x v="15"/>
    <n v="0.87485380116959066"/>
    <n v="9.4205209994683681E-2"/>
    <n v="1.4797507788161994E-2"/>
    <n v="8.5669781931464167E-3"/>
    <n v="4.2834890965732083E-3"/>
    <n v="0"/>
    <n v="3.4390352836087539E-2"/>
    <n v="0.80588947907930297"/>
    <n v="0.83459137079489332"/>
    <n v="0.15916503587736464"/>
    <s v="Interbay | Magnolia/Queen Anne"/>
    <s v="5Y23"/>
  </r>
  <r>
    <s v="Queen Anne"/>
    <s v="CRA"/>
    <x v="4"/>
    <n v="41543"/>
    <n v="8781"/>
    <n v="32709"/>
    <n v="1251"/>
    <n v="43869"/>
    <n v="2011"/>
    <n v="1109"/>
    <n v="403"/>
    <n v="491"/>
    <n v="744"/>
    <n v="488"/>
    <n v="38623"/>
    <n v="7914"/>
    <n v="246"/>
    <n v="0"/>
    <n v="44"/>
    <n v="67"/>
    <n v="135"/>
    <n v="34389"/>
    <n v="2515"/>
    <n v="29745"/>
    <n v="798"/>
    <n v="5246"/>
    <n v="30778"/>
    <n v="965"/>
    <n v="3558"/>
    <n v="1550"/>
    <n v="1033"/>
    <n v="167"/>
    <n v="7.313385094070779E-2"/>
    <x v="16"/>
    <n v="0.89499549274477308"/>
    <x v="16"/>
    <n v="0.86495681758701914"/>
    <n v="0.10346331675826573"/>
    <n v="0"/>
    <n v="5.5597675006317914E-3"/>
    <n v="8.4660096032347747E-3"/>
    <n v="1.7058377558756634E-2"/>
    <n v="3.8246354214436395E-2"/>
    <n v="0.75723948679681297"/>
    <n v="0.78735286329826926"/>
    <n v="0.21137135016729652"/>
    <s v="Queen Anne | Magnolia/Queen Anne"/>
    <s v="5Y23"/>
  </r>
  <r>
    <s v="Belltown"/>
    <s v="CRA"/>
    <x v="5"/>
    <n v="11126"/>
    <n v="2202"/>
    <n v="8904"/>
    <n v="246"/>
    <n v="11281"/>
    <n v="587"/>
    <n v="609"/>
    <n v="286"/>
    <n v="238"/>
    <n v="207"/>
    <n v="183"/>
    <n v="9171"/>
    <n v="2076"/>
    <n v="30"/>
    <n v="0"/>
    <n v="30"/>
    <n v="0"/>
    <n v="0"/>
    <n v="9986"/>
    <n v="1068"/>
    <n v="8382"/>
    <n v="402"/>
    <n v="2110"/>
    <n v="8628"/>
    <n v="470"/>
    <n v="1338"/>
    <n v="598"/>
    <n v="246"/>
    <n v="68"/>
    <n v="0.10694972962147006"/>
    <x v="17"/>
    <n v="0.86400961345884242"/>
    <x v="17"/>
    <n v="0.83937512517524537"/>
    <n v="0.13398758261566193"/>
    <n v="0"/>
    <n v="1.4450867052023121E-2"/>
    <n v="0"/>
    <n v="0"/>
    <n v="2.7628032345013476E-2"/>
    <n v="0.7781772424950566"/>
    <n v="0.80028761459644082"/>
    <n v="0.19791479417580443"/>
    <s v="Belltown | Downtown"/>
    <s v="5Y23"/>
  </r>
  <r>
    <s v="Downtown Commercial Core"/>
    <s v="CRA"/>
    <x v="5"/>
    <n v="6155"/>
    <n v="2053"/>
    <n v="4057"/>
    <n v="154"/>
    <n v="6163"/>
    <n v="537"/>
    <n v="525"/>
    <n v="130"/>
    <n v="115"/>
    <n v="131"/>
    <n v="97"/>
    <n v="4628"/>
    <n v="950"/>
    <n v="37"/>
    <n v="0"/>
    <n v="37"/>
    <n v="0"/>
    <n v="0"/>
    <n v="5006"/>
    <n v="737"/>
    <n v="3670"/>
    <n v="79"/>
    <n v="1535"/>
    <n v="3802"/>
    <n v="170"/>
    <n v="1159"/>
    <n v="567"/>
    <n v="132"/>
    <n v="91"/>
    <n v="0.1472233320015981"/>
    <x v="18"/>
    <n v="0.75948861366360365"/>
    <x v="18"/>
    <n v="0.73312025569316819"/>
    <n v="0.23152217339192968"/>
    <n v="0"/>
    <n v="3.8947368421052633E-2"/>
    <n v="0"/>
    <n v="0"/>
    <n v="3.7959083066305153E-2"/>
    <n v="0.63411860276198218"/>
    <n v="0.65913891145410231"/>
    <n v="0.33354995938261578"/>
    <s v="Downtown Commercial Core | Downtown"/>
    <s v="5Y23"/>
  </r>
  <r>
    <s v="Pioneer Square/International District"/>
    <s v="CRA"/>
    <x v="5"/>
    <n v="6171"/>
    <n v="2394"/>
    <n v="3728"/>
    <n v="239"/>
    <n v="6507"/>
    <n v="745"/>
    <n v="1381"/>
    <n v="864"/>
    <n v="278"/>
    <n v="230"/>
    <n v="70"/>
    <n v="2939"/>
    <n v="783"/>
    <n v="295"/>
    <n v="0"/>
    <n v="221"/>
    <n v="55"/>
    <n v="19"/>
    <n v="4559"/>
    <n v="1133"/>
    <n v="3252"/>
    <n v="486"/>
    <n v="3568"/>
    <n v="3483"/>
    <n v="544"/>
    <n v="1027"/>
    <n v="589"/>
    <n v="231"/>
    <n v="58"/>
    <n v="0.24851941215178766"/>
    <x v="19"/>
    <n v="0.76398332967756089"/>
    <x v="19"/>
    <n v="0.71331432331651679"/>
    <n v="0.22526869927615706"/>
    <n v="0"/>
    <n v="0.28224776500638571"/>
    <n v="7.0242656449553006E-2"/>
    <n v="2.4265644955300127E-2"/>
    <n v="6.4109442060085842E-2"/>
    <n v="0.56538648517258139"/>
    <n v="0.60411602657591967"/>
    <n v="0.38794360719494408"/>
    <s v="Pioneer Square/International District | Downtown"/>
    <s v="5Y23"/>
  </r>
  <r>
    <s v="Council District 1"/>
    <s v="CD"/>
    <x v="6"/>
    <n v="91517"/>
    <n v="24899"/>
    <n v="66175"/>
    <n v="2963"/>
    <n v="107394"/>
    <n v="4790"/>
    <n v="4205"/>
    <n v="2888"/>
    <n v="2177"/>
    <n v="3163"/>
    <n v="1673"/>
    <n v="88498"/>
    <n v="25525"/>
    <n v="976"/>
    <n v="201"/>
    <n v="121"/>
    <n v="421"/>
    <n v="233"/>
    <n v="73267"/>
    <n v="6201"/>
    <n v="59708"/>
    <n v="2159"/>
    <n v="18896"/>
    <n v="62376"/>
    <n v="2983"/>
    <n v="10629"/>
    <n v="3218"/>
    <n v="2668"/>
    <n v="824"/>
    <n v="8.4635647699510014E-2"/>
    <x v="20"/>
    <n v="0.85135190467741273"/>
    <x v="20"/>
    <n v="0.81493714769268566"/>
    <n v="0.1450721334297842"/>
    <n v="7.8746327130264446E-3"/>
    <n v="4.7404505386875609E-3"/>
    <n v="1.6493633692458372E-2"/>
    <n v="9.1283055827619981E-3"/>
    <n v="4.4775217227049489E-2"/>
    <n v="0.69071320082607601"/>
    <n v="0.72308969918157284"/>
    <n v="0.27206967011593475"/>
    <s v="Council District 1 | Unknown"/>
    <s v="5Y23"/>
  </r>
  <r>
    <s v="Council District 2"/>
    <s v="CD"/>
    <x v="6"/>
    <n v="90805"/>
    <n v="27715"/>
    <n v="63025"/>
    <n v="2285"/>
    <n v="106089"/>
    <n v="7004"/>
    <n v="8205"/>
    <n v="4502"/>
    <n v="2690"/>
    <n v="3547"/>
    <n v="1597"/>
    <n v="78544"/>
    <n v="23697"/>
    <n v="2408"/>
    <n v="444"/>
    <n v="726"/>
    <n v="863"/>
    <n v="375"/>
    <n v="69730"/>
    <n v="7751"/>
    <n v="55992"/>
    <n v="3162"/>
    <n v="27545"/>
    <n v="57948"/>
    <n v="3946"/>
    <n v="11717"/>
    <n v="3782"/>
    <n v="1956"/>
    <n v="784"/>
    <n v="0.11115732109565467"/>
    <x v="21"/>
    <n v="0.83103398824035568"/>
    <x v="21"/>
    <n v="0.8029829341746737"/>
    <n v="0.16803384483005879"/>
    <n v="1.8736548930244335E-2"/>
    <n v="3.0636789467021142E-2"/>
    <n v="3.6418111997299239E-2"/>
    <n v="1.58247879478415E-2"/>
    <n v="3.6255454184847283E-2"/>
    <n v="0.66890589725235394"/>
    <n v="0.6940697098177413"/>
    <n v="0.3052144705688013"/>
    <s v="Council District 2 | Unknown"/>
    <s v="5Y23"/>
  </r>
  <r>
    <s v="Council District 3"/>
    <s v="CD"/>
    <x v="6"/>
    <n v="99061"/>
    <n v="23018"/>
    <n v="75882"/>
    <n v="3913"/>
    <n v="106829"/>
    <n v="6322"/>
    <n v="4502"/>
    <n v="2021"/>
    <n v="1983"/>
    <n v="3313"/>
    <n v="1461"/>
    <n v="87227"/>
    <n v="18845"/>
    <n v="902"/>
    <n v="101"/>
    <n v="351"/>
    <n v="345"/>
    <n v="105"/>
    <n v="83023"/>
    <n v="7551"/>
    <n v="68785"/>
    <n v="3108"/>
    <n v="19602"/>
    <n v="72421"/>
    <n v="4215"/>
    <n v="10441"/>
    <n v="3336"/>
    <n v="3636"/>
    <n v="1107"/>
    <n v="9.0950700408320581E-2"/>
    <x v="22"/>
    <n v="0.872300446864122"/>
    <x v="22"/>
    <n v="0.82850535393806535"/>
    <n v="0.12576033147441071"/>
    <n v="5.3595118068453171E-3"/>
    <n v="1.8625630140620856E-2"/>
    <n v="1.8307243300610242E-2"/>
    <n v="5.5717697001857252E-3"/>
    <n v="5.1566906512743468E-2"/>
    <n v="0.72651194718405832"/>
    <n v="0.76601286076256048"/>
    <n v="0.23236187803474626"/>
    <s v="Council District 3 | Unknown"/>
    <s v="5Y23"/>
  </r>
  <r>
    <s v="Council District 4"/>
    <s v="CD"/>
    <x v="6"/>
    <n v="91550"/>
    <n v="27842"/>
    <n v="63656"/>
    <n v="2880"/>
    <n v="93873"/>
    <n v="7895"/>
    <n v="4580"/>
    <n v="1812"/>
    <n v="2003"/>
    <n v="2509"/>
    <n v="1106"/>
    <n v="73968"/>
    <n v="18862"/>
    <n v="609"/>
    <n v="56"/>
    <n v="149"/>
    <n v="266"/>
    <n v="138"/>
    <n v="67669"/>
    <n v="10512"/>
    <n v="53894"/>
    <n v="4237"/>
    <n v="19905"/>
    <n v="55812"/>
    <n v="4934"/>
    <n v="11805"/>
    <n v="5578"/>
    <n v="1918"/>
    <n v="697"/>
    <n v="0.15534439699123676"/>
    <x v="23"/>
    <n v="0.82477944110301615"/>
    <x v="23"/>
    <n v="0.7964355908909545"/>
    <n v="0.17445211248873191"/>
    <n v="2.9689322447248438E-3"/>
    <n v="7.8994804368571724E-3"/>
    <n v="1.4102428162443007E-2"/>
    <n v="7.31629731735765E-3"/>
    <n v="4.5243182103807969E-2"/>
    <n v="0.66385581649371928"/>
    <n v="0.6953140360458766"/>
    <n v="0.30411796832332061"/>
    <s v="Council District 4 | Unknown"/>
    <s v="5Y23"/>
  </r>
  <r>
    <s v="Council District 5"/>
    <s v="CD"/>
    <x v="6"/>
    <n v="90846"/>
    <n v="25242"/>
    <n v="65518"/>
    <n v="2934"/>
    <n v="105379"/>
    <n v="4865"/>
    <n v="5104"/>
    <n v="2046"/>
    <n v="1991"/>
    <n v="3241"/>
    <n v="1075"/>
    <n v="87057"/>
    <n v="23890"/>
    <n v="1440"/>
    <n v="163"/>
    <n v="301"/>
    <n v="602"/>
    <n v="374"/>
    <n v="71180"/>
    <n v="6472"/>
    <n v="58239"/>
    <n v="2242"/>
    <n v="18322"/>
    <n v="60839"/>
    <n v="3094"/>
    <n v="10255"/>
    <n v="3378"/>
    <n v="2600"/>
    <n v="852"/>
    <n v="9.0924416971059283E-2"/>
    <x v="24"/>
    <n v="0.85472042708626017"/>
    <x v="24"/>
    <n v="0.81819331272829443"/>
    <n v="0.1440713683618994"/>
    <n v="6.8229384679782332E-3"/>
    <n v="1.2599413980745081E-2"/>
    <n v="2.5198827961490162E-2"/>
    <n v="1.5655085809962329E-2"/>
    <n v="4.4781586739521963E-2"/>
    <n v="0.68890209805605085"/>
    <n v="0.72119851176716643"/>
    <n v="0.27785483125288951"/>
    <s v="Council District 5 | Unknown"/>
    <s v="5Y23"/>
  </r>
  <r>
    <s v="Council District 6"/>
    <s v="CD"/>
    <x v="6"/>
    <n v="89490"/>
    <n v="20015"/>
    <n v="69368"/>
    <n v="2292"/>
    <n v="104797"/>
    <n v="2761"/>
    <n v="2655"/>
    <n v="831"/>
    <n v="1194"/>
    <n v="1652"/>
    <n v="929"/>
    <n v="94775"/>
    <n v="23414"/>
    <n v="602"/>
    <n v="64"/>
    <n v="157"/>
    <n v="298"/>
    <n v="83"/>
    <n v="73528"/>
    <n v="3863"/>
    <n v="63243"/>
    <n v="1454"/>
    <n v="10022"/>
    <n v="65389"/>
    <n v="2040"/>
    <n v="8032"/>
    <n v="1823"/>
    <n v="2146"/>
    <n v="586"/>
    <n v="5.2537808725927539E-2"/>
    <x v="25"/>
    <n v="0.88930747470351434"/>
    <x v="25"/>
    <n v="0.86012131432923511"/>
    <n v="0.10923729735610924"/>
    <n v="2.7334073631160843E-3"/>
    <n v="6.7053899376441446E-3"/>
    <n v="1.2727428034509268E-2"/>
    <n v="3.5448876740411719E-3"/>
    <n v="3.3041171721831394E-2"/>
    <n v="0.74953626103475246"/>
    <n v="0.77514806123589231"/>
    <n v="0.22365627444407196"/>
    <s v="Council District 6 | Unknown"/>
    <s v="5Y23"/>
  </r>
  <r>
    <s v="Council District 7"/>
    <s v="CD"/>
    <x v="6"/>
    <n v="95692"/>
    <n v="19436"/>
    <n v="76035"/>
    <n v="3042"/>
    <n v="98649"/>
    <n v="5205"/>
    <n v="3299"/>
    <n v="1654"/>
    <n v="1903"/>
    <n v="1960"/>
    <n v="939"/>
    <n v="83689"/>
    <n v="17004"/>
    <n v="523"/>
    <n v="38"/>
    <n v="195"/>
    <n v="155"/>
    <n v="135"/>
    <n v="81455"/>
    <n v="6861"/>
    <n v="69958"/>
    <n v="2506"/>
    <n v="14960"/>
    <n v="72636"/>
    <n v="3298"/>
    <n v="8665"/>
    <n v="3563"/>
    <n v="2678"/>
    <n v="792"/>
    <n v="8.4230556749125288E-2"/>
    <x v="26"/>
    <n v="0.89173163096188079"/>
    <x v="26"/>
    <n v="0.85885458228469702"/>
    <n v="0.10637775458842305"/>
    <n v="2.2347682898141612E-3"/>
    <n v="1.1467889908256881E-2"/>
    <n v="9.1155022347682892E-3"/>
    <n v="7.9393083980239948E-3"/>
    <n v="4.0007891102781613E-2"/>
    <n v="0.76279103791330516"/>
    <n v="0.79458052919784306"/>
    <n v="0.20310997784558793"/>
    <s v="Council District 7 | Unknown"/>
    <s v="5Y23"/>
  </r>
  <r>
    <s v="Arbor Heights"/>
    <s v="CRA"/>
    <x v="7"/>
    <n v="4819"/>
    <n v="1571"/>
    <n v="3248"/>
    <n v="95"/>
    <n v="6105"/>
    <n v="190"/>
    <n v="64"/>
    <n v="16"/>
    <n v="46"/>
    <n v="49"/>
    <n v="41"/>
    <n v="5699"/>
    <n v="1839"/>
    <n v="49"/>
    <n v="18"/>
    <n v="0"/>
    <n v="31"/>
    <n v="0"/>
    <n v="3556"/>
    <n v="170"/>
    <n v="2912"/>
    <n v="32"/>
    <n v="406"/>
    <n v="2998"/>
    <n v="63"/>
    <n v="558"/>
    <n v="107"/>
    <n v="86"/>
    <n v="31"/>
    <n v="4.7806524184476944E-2"/>
    <x v="27"/>
    <n v="0.84308211473565808"/>
    <x v="27"/>
    <n v="0.81889763779527558"/>
    <n v="0.15691788526434194"/>
    <n v="9.7879282218597055E-3"/>
    <n v="0"/>
    <n v="1.6856987493202826E-2"/>
    <n v="0"/>
    <n v="2.9248768472906403E-2"/>
    <n v="0.65428512139448014"/>
    <n v="0.67399875492840844"/>
    <n v="0.32600124507159162"/>
    <s v="Arbor Heights | Southwest"/>
    <s v="5Y23"/>
  </r>
  <r>
    <s v="Fauntleroy/Seaview"/>
    <s v="CRA"/>
    <x v="7"/>
    <n v="12592"/>
    <n v="3294"/>
    <n v="9298"/>
    <n v="297"/>
    <n v="15042"/>
    <n v="358"/>
    <n v="457"/>
    <n v="96"/>
    <n v="285"/>
    <n v="354"/>
    <n v="33"/>
    <n v="13459"/>
    <n v="3865"/>
    <n v="28"/>
    <n v="10"/>
    <n v="8"/>
    <n v="10"/>
    <n v="0"/>
    <n v="9746"/>
    <n v="597"/>
    <n v="8271"/>
    <n v="251"/>
    <n v="1583"/>
    <n v="8537"/>
    <n v="380"/>
    <n v="1209"/>
    <n v="217"/>
    <n v="266"/>
    <n v="129"/>
    <n v="6.1255899856351326E-2"/>
    <x v="28"/>
    <n v="0.87594910732608244"/>
    <x v="28"/>
    <n v="0.8486558588138724"/>
    <n v="0.1240508926739175"/>
    <n v="2.5873221216041399E-3"/>
    <n v="2.0698576972833119E-3"/>
    <n v="2.5873221216041399E-3"/>
    <n v="0"/>
    <n v="3.1942353194235322E-2"/>
    <n v="0.71481893265565444"/>
    <n v="0.73840533672172803"/>
    <n v="0.26159466327827191"/>
    <s v="Fauntleroy/Seaview | Southwest"/>
    <s v="5Y23"/>
  </r>
  <r>
    <s v="West Seattle Junction/Genesee Hill"/>
    <s v="CRA"/>
    <x v="7"/>
    <n v="20307"/>
    <n v="4876"/>
    <n v="15414"/>
    <n v="685"/>
    <n v="23529"/>
    <n v="893"/>
    <n v="565"/>
    <n v="352"/>
    <n v="284"/>
    <n v="374"/>
    <n v="953"/>
    <n v="20108"/>
    <n v="5391"/>
    <n v="155"/>
    <n v="45"/>
    <n v="50"/>
    <n v="37"/>
    <n v="23"/>
    <n v="16479"/>
    <n v="991"/>
    <n v="14013"/>
    <n v="640"/>
    <n v="3421"/>
    <n v="14638"/>
    <n v="680"/>
    <n v="1824"/>
    <n v="311"/>
    <n v="625"/>
    <n v="40"/>
    <n v="6.0137144244189575E-2"/>
    <x v="29"/>
    <n v="0.88828205594999698"/>
    <x v="29"/>
    <n v="0.85035499726925179"/>
    <n v="0.11068632805388677"/>
    <n v="8.3472454090150246E-3"/>
    <n v="9.2747171211278057E-3"/>
    <n v="6.8632906696345763E-3"/>
    <n v="4.2663698757187908E-3"/>
    <n v="4.444011937199948E-2"/>
    <n v="0.72531639336189491"/>
    <n v="0.75904860392967943"/>
    <n v="0.2401142463190033"/>
    <s v="West Seattle Junction/Genesee Hill | Southwest"/>
    <s v="5Y23"/>
  </r>
  <r>
    <s v="Alki/Admiral"/>
    <s v="CRA"/>
    <x v="7"/>
    <n v="10477"/>
    <n v="3322"/>
    <n v="7155"/>
    <n v="191"/>
    <n v="11920"/>
    <n v="267"/>
    <n v="203"/>
    <n v="236"/>
    <n v="187"/>
    <n v="179"/>
    <n v="15"/>
    <n v="10833"/>
    <n v="3107"/>
    <n v="61"/>
    <n v="0"/>
    <n v="28"/>
    <n v="0"/>
    <n v="33"/>
    <n v="7808"/>
    <n v="428"/>
    <n v="6567"/>
    <n v="109"/>
    <n v="1087"/>
    <n v="6729"/>
    <n v="163"/>
    <n v="1079"/>
    <n v="265"/>
    <n v="162"/>
    <n v="54"/>
    <n v="5.4815573770491802E-2"/>
    <x v="30"/>
    <n v="0.86180840163934425"/>
    <x v="30"/>
    <n v="0.84106045081967218"/>
    <n v="0.13819159836065573"/>
    <n v="0"/>
    <n v="9.0119085934985514E-3"/>
    <n v="0"/>
    <n v="1.0621177985194722E-2"/>
    <n v="2.6694619147449337E-2"/>
    <n v="0.66469409182017758"/>
    <n v="0.68292450128853677"/>
    <n v="0.31707549871146323"/>
    <s v="Alki/Admiral | Southwest"/>
    <s v="5Y23"/>
  </r>
  <r>
    <s v="North Delridge"/>
    <s v="CRA"/>
    <x v="8"/>
    <n v="5273"/>
    <n v="1280"/>
    <n v="3933"/>
    <n v="308"/>
    <n v="5803"/>
    <n v="305"/>
    <n v="154"/>
    <n v="58"/>
    <n v="16"/>
    <n v="352"/>
    <n v="63"/>
    <n v="4855"/>
    <n v="1145"/>
    <n v="0"/>
    <n v="0"/>
    <n v="0"/>
    <n v="0"/>
    <n v="0"/>
    <n v="4643"/>
    <n v="436"/>
    <n v="3574"/>
    <n v="64"/>
    <n v="948"/>
    <n v="3866"/>
    <n v="207"/>
    <n v="717"/>
    <n v="229"/>
    <n v="292"/>
    <n v="143"/>
    <n v="9.3904802929140635E-2"/>
    <x v="31"/>
    <n v="0.83265130303682966"/>
    <x v="31"/>
    <n v="0.76976093043290972"/>
    <n v="0.15442601766099504"/>
    <n v="0"/>
    <n v="0"/>
    <n v="0"/>
    <n v="0"/>
    <n v="7.83117213323163E-2"/>
    <n v="0.68746444149440544"/>
    <n v="0.74587521335103357"/>
    <n v="0.24274606485871419"/>
    <s v="North Delridge | Delridge Neighborhoods"/>
    <s v="5Y23"/>
  </r>
  <r>
    <s v="High Point"/>
    <s v="CRA"/>
    <x v="8"/>
    <n v="7061"/>
    <n v="2276"/>
    <n v="4785"/>
    <n v="195"/>
    <n v="9132"/>
    <n v="596"/>
    <n v="644"/>
    <n v="1097"/>
    <n v="391"/>
    <n v="313"/>
    <n v="131"/>
    <n v="5960"/>
    <n v="2273"/>
    <n v="196"/>
    <n v="58"/>
    <n v="22"/>
    <n v="60"/>
    <n v="56"/>
    <n v="5964"/>
    <n v="682"/>
    <n v="4448"/>
    <n v="110"/>
    <n v="3172"/>
    <n v="4632"/>
    <n v="160"/>
    <n v="1332"/>
    <n v="522"/>
    <n v="184"/>
    <n v="50"/>
    <n v="0.11435278336686787"/>
    <x v="32"/>
    <n v="0.77665995975855129"/>
    <x v="32"/>
    <n v="0.7458081824279007"/>
    <n v="0.22334004024144868"/>
    <n v="2.5516937967443906E-2"/>
    <n v="9.6788385393752757E-3"/>
    <n v="2.6396832380114386E-2"/>
    <n v="2.4637043554773426E-2"/>
    <n v="4.0752351097178681E-2"/>
    <n v="0.65004956804985126"/>
    <n v="0.67766605296700189"/>
    <n v="0.32233394703299817"/>
    <s v="High Point | Delridge Neighborhoods"/>
    <s v="5Y23"/>
  </r>
  <r>
    <s v="Riverview"/>
    <s v="CRA"/>
    <x v="8"/>
    <n v="4058"/>
    <n v="812"/>
    <n v="3246"/>
    <n v="83"/>
    <n v="5014"/>
    <n v="262"/>
    <n v="88"/>
    <n v="0"/>
    <n v="15"/>
    <n v="202"/>
    <n v="33"/>
    <n v="4414"/>
    <n v="1220"/>
    <n v="44"/>
    <n v="0"/>
    <n v="0"/>
    <n v="44"/>
    <n v="0"/>
    <n v="3446"/>
    <n v="166"/>
    <n v="3023"/>
    <n v="90"/>
    <n v="600"/>
    <n v="3098"/>
    <n v="105"/>
    <n v="348"/>
    <n v="61"/>
    <n v="75"/>
    <n v="15"/>
    <n v="4.8171793383633199E-2"/>
    <x v="33"/>
    <n v="0.89901334881021477"/>
    <x v="33"/>
    <n v="0.87724898432965759"/>
    <n v="0.10098665118978525"/>
    <n v="0"/>
    <n v="0"/>
    <n v="3.6065573770491806E-2"/>
    <n v="0"/>
    <n v="2.5569932224276032E-2"/>
    <n v="0.77944800394282898"/>
    <n v="0.79990142927550523"/>
    <n v="0.20009857072449483"/>
    <s v="Riverview | Delridge Neighborhoods"/>
    <s v="5Y23"/>
  </r>
  <r>
    <s v="Roxhill/Westwood"/>
    <s v="CRA"/>
    <x v="8"/>
    <n v="11901"/>
    <n v="2825"/>
    <n v="9056"/>
    <n v="446"/>
    <n v="13846"/>
    <n v="605"/>
    <n v="643"/>
    <n v="336"/>
    <n v="162"/>
    <n v="395"/>
    <n v="248"/>
    <n v="11457"/>
    <n v="3303"/>
    <n v="161"/>
    <n v="18"/>
    <n v="13"/>
    <n v="98"/>
    <n v="32"/>
    <n v="9750"/>
    <n v="838"/>
    <n v="8232"/>
    <n v="145"/>
    <n v="2389"/>
    <n v="8579"/>
    <n v="300"/>
    <n v="1151"/>
    <n v="538"/>
    <n v="347"/>
    <n v="155"/>
    <n v="8.5948717948717945E-2"/>
    <x v="34"/>
    <n v="0.87989743589743585"/>
    <x v="34"/>
    <n v="0.84430769230769231"/>
    <n v="0.11805128205128206"/>
    <n v="5.4495912806539508E-3"/>
    <n v="3.9358159249167426E-3"/>
    <n v="2.9669996972449288E-2"/>
    <n v="9.6881622767181347E-3"/>
    <n v="4.9249116607773855E-2"/>
    <n v="0.72346861608268209"/>
    <n v="0.76094445844886982"/>
    <n v="0.23737501050331905"/>
    <s v="Roxhill/Westwood | Delridge Neighborhoods"/>
    <s v="5Y23"/>
  </r>
  <r>
    <s v="Highland Park"/>
    <s v="CRA"/>
    <x v="8"/>
    <n v="6775"/>
    <n v="2242"/>
    <n v="4517"/>
    <n v="174"/>
    <n v="8130"/>
    <n v="369"/>
    <n v="200"/>
    <n v="238"/>
    <n v="275"/>
    <n v="653"/>
    <n v="92"/>
    <n v="6303"/>
    <n v="1994"/>
    <n v="113"/>
    <n v="0"/>
    <n v="0"/>
    <n v="33"/>
    <n v="80"/>
    <n v="5200"/>
    <n v="390"/>
    <n v="3985"/>
    <n v="148"/>
    <n v="1827"/>
    <n v="4145"/>
    <n v="157"/>
    <n v="1039"/>
    <n v="233"/>
    <n v="160"/>
    <n v="9"/>
    <n v="7.4999999999999997E-2"/>
    <x v="35"/>
    <n v="0.79711538461538467"/>
    <x v="35"/>
    <n v="0.7663461538461539"/>
    <n v="0.1998076923076923"/>
    <n v="0"/>
    <n v="0"/>
    <n v="1.6549648946840523E-2"/>
    <n v="4.0120361083249748E-2"/>
    <n v="3.8521142351117997E-2"/>
    <n v="0.64103321033210336"/>
    <n v="0.66671586715867159"/>
    <n v="0.33092250922509225"/>
    <s v="Highland Park | Delridge Neighborhoods"/>
    <s v="5Y23"/>
  </r>
  <r>
    <s v="South Park"/>
    <s v="CRA"/>
    <x v="9"/>
    <n v="3281"/>
    <n v="793"/>
    <n v="2401"/>
    <n v="160"/>
    <n v="4003"/>
    <n v="323"/>
    <n v="558"/>
    <n v="198"/>
    <n v="362"/>
    <n v="172"/>
    <n v="9"/>
    <n v="2381"/>
    <n v="900"/>
    <n v="162"/>
    <n v="52"/>
    <n v="0"/>
    <n v="101"/>
    <n v="9"/>
    <n v="2651"/>
    <n v="470"/>
    <n v="2062"/>
    <n v="205"/>
    <n v="1622"/>
    <n v="2222"/>
    <n v="255"/>
    <n v="342"/>
    <n v="215"/>
    <n v="160"/>
    <n v="50"/>
    <n v="0.17729158807996984"/>
    <x v="36"/>
    <n v="0.83817427385892118"/>
    <x v="36"/>
    <n v="0.77781969068276124"/>
    <n v="0.12900792153904186"/>
    <n v="5.7777777777777775E-2"/>
    <n v="0"/>
    <n v="0.11222222222222222"/>
    <n v="0.01"/>
    <n v="6.6638900458142442E-2"/>
    <n v="0.68302346845473938"/>
    <n v="0.73178908869247183"/>
    <n v="0.2416946053032612"/>
    <s v="South Park | Greater Duwamish"/>
    <s v="5Y23"/>
  </r>
  <r>
    <s v="Georgetown"/>
    <s v="CRA"/>
    <x v="9"/>
    <n v="1066"/>
    <n v="167"/>
    <n v="899"/>
    <n v="6"/>
    <n v="1181"/>
    <n v="12"/>
    <n v="103"/>
    <n v="53"/>
    <n v="5"/>
    <n v="53"/>
    <n v="31"/>
    <n v="924"/>
    <n v="178"/>
    <n v="0"/>
    <n v="0"/>
    <n v="0"/>
    <n v="0"/>
    <n v="0"/>
    <n v="902"/>
    <n v="107"/>
    <n v="848"/>
    <n v="101"/>
    <n v="257"/>
    <n v="854"/>
    <n v="101"/>
    <n v="48"/>
    <n v="6"/>
    <n v="6"/>
    <n v="0"/>
    <n v="0.11862527716186252"/>
    <x v="37"/>
    <n v="0.94678492239467849"/>
    <x v="31"/>
    <n v="0.94013303769401335"/>
    <n v="5.3215077605321508E-2"/>
    <n v="0"/>
    <n v="0"/>
    <n v="0"/>
    <n v="0"/>
    <n v="6.6740823136818691E-3"/>
    <n v="0.83771106941838647"/>
    <n v="0.84333958724202629"/>
    <n v="0.15666041275797374"/>
    <s v="Georgetown | Greater Duwamish"/>
    <s v="5Y23"/>
  </r>
  <r>
    <s v="Duwamish/SODO"/>
    <s v="CRA"/>
    <x v="9"/>
    <n v="3147"/>
    <n v="636"/>
    <n v="2317"/>
    <n v="127"/>
    <n v="3165"/>
    <n v="239"/>
    <n v="152"/>
    <n v="24"/>
    <n v="144"/>
    <n v="67"/>
    <n v="21"/>
    <n v="2518"/>
    <n v="612"/>
    <n v="7"/>
    <n v="0"/>
    <n v="0"/>
    <n v="7"/>
    <n v="0"/>
    <n v="2387"/>
    <n v="295"/>
    <n v="1954"/>
    <n v="154"/>
    <n v="647"/>
    <n v="2081"/>
    <n v="208"/>
    <n v="293"/>
    <n v="87"/>
    <n v="127"/>
    <n v="54"/>
    <n v="0.12358609132802681"/>
    <x v="38"/>
    <n v="0.87180561374109766"/>
    <x v="37"/>
    <n v="0.81860075408462507"/>
    <n v="0.12274821952241308"/>
    <n v="0"/>
    <n v="0"/>
    <n v="1.1437908496732025E-2"/>
    <n v="0"/>
    <n v="5.4812257229175661E-2"/>
    <n v="0.69590085795996182"/>
    <n v="0.73625675246266287"/>
    <n v="0.20209723546234509"/>
    <s v="Duwamish/SODO | Greater Duwamish"/>
    <s v="5Y23"/>
  </r>
  <r>
    <s v="South Beacon Hill/NewHolly"/>
    <s v="CRA"/>
    <x v="9"/>
    <n v="12998"/>
    <n v="5002"/>
    <n v="7979"/>
    <n v="361"/>
    <n v="15597"/>
    <n v="1118"/>
    <n v="2041"/>
    <n v="1026"/>
    <n v="506"/>
    <n v="1065"/>
    <n v="202"/>
    <n v="9639"/>
    <n v="3290"/>
    <n v="472"/>
    <n v="171"/>
    <n v="133"/>
    <n v="126"/>
    <n v="42"/>
    <n v="9459"/>
    <n v="1482"/>
    <n v="6967"/>
    <n v="362"/>
    <n v="5958"/>
    <n v="7238"/>
    <n v="460"/>
    <n v="2204"/>
    <n v="1022"/>
    <n v="271"/>
    <n v="98"/>
    <n v="0.15667618141452586"/>
    <x v="39"/>
    <n v="0.76519716671952642"/>
    <x v="38"/>
    <n v="0.73654720372132365"/>
    <n v="0.23300560312929486"/>
    <n v="5.1975683890577509E-2"/>
    <n v="4.042553191489362E-2"/>
    <n v="3.8297872340425532E-2"/>
    <n v="1.276595744680851E-2"/>
    <n v="4.5243764882817394E-2"/>
    <n v="0.58609016771811051"/>
    <n v="0.6138636713340514"/>
    <n v="0.38482843514386827"/>
    <s v="South Beacon Hill/NewHolly | Greater Duwamish"/>
    <s v="5Y23"/>
  </r>
  <r>
    <s v="Beacon Hill"/>
    <s v="CRA"/>
    <x v="9"/>
    <n v="7651"/>
    <n v="2567"/>
    <n v="5084"/>
    <n v="90"/>
    <n v="9301"/>
    <n v="395"/>
    <n v="586"/>
    <n v="303"/>
    <n v="117"/>
    <n v="429"/>
    <n v="43"/>
    <n v="7428"/>
    <n v="2195"/>
    <n v="219"/>
    <n v="73"/>
    <n v="112"/>
    <n v="34"/>
    <n v="0"/>
    <n v="5605"/>
    <n v="459"/>
    <n v="4552"/>
    <n v="249"/>
    <n v="1873"/>
    <n v="4635"/>
    <n v="268"/>
    <n v="970"/>
    <n v="191"/>
    <n v="83"/>
    <n v="19"/>
    <n v="8.189116859946477E-2"/>
    <x v="40"/>
    <n v="0.8269402319357716"/>
    <x v="39"/>
    <n v="0.81213202497769843"/>
    <n v="0.17305976806422838"/>
    <n v="3.3257403189066059E-2"/>
    <n v="5.1025056947608199E-2"/>
    <n v="1.5489749430523917E-2"/>
    <n v="0"/>
    <n v="1.7702596380802519E-2"/>
    <n v="0.65272513396941578"/>
    <n v="0.66448830218272126"/>
    <n v="0.3355116978172788"/>
    <s v="Beacon Hill | Greater Duwamish"/>
    <s v="5Y23"/>
  </r>
  <r>
    <s v="North Beacon Hill/Jefferson Park"/>
    <s v="CRA"/>
    <x v="9"/>
    <n v="13743"/>
    <n v="3562"/>
    <n v="10167"/>
    <n v="305"/>
    <n v="15184"/>
    <n v="756"/>
    <n v="992"/>
    <n v="603"/>
    <n v="313"/>
    <n v="422"/>
    <n v="213"/>
    <n v="11885"/>
    <n v="3550"/>
    <n v="311"/>
    <n v="58"/>
    <n v="107"/>
    <n v="98"/>
    <n v="48"/>
    <n v="10785"/>
    <n v="1050"/>
    <n v="9045"/>
    <n v="481"/>
    <n v="3299"/>
    <n v="9312"/>
    <n v="645"/>
    <n v="1459"/>
    <n v="405"/>
    <n v="267"/>
    <n v="164"/>
    <n v="9.7357440890125171E-2"/>
    <x v="41"/>
    <n v="0.86342141863699584"/>
    <x v="40"/>
    <n v="0.83866481223922118"/>
    <n v="0.13528048215113583"/>
    <n v="1.6338028169014085E-2"/>
    <n v="3.0140845070422535E-2"/>
    <n v="2.7605633802816901E-2"/>
    <n v="1.3521126760563381E-2"/>
    <n v="2.9999016425690962E-2"/>
    <n v="0.71760168813213998"/>
    <n v="0.73979480462781055"/>
    <n v="0.25918649494287999"/>
    <s v="North Beacon Hill/Jefferson Park | Greater Duwamish"/>
    <s v="5Y23"/>
  </r>
  <r>
    <s v="Rainier Beach"/>
    <s v="CRA"/>
    <x v="10"/>
    <n v="12990"/>
    <n v="3817"/>
    <n v="9139"/>
    <n v="401"/>
    <n v="15864"/>
    <n v="1139"/>
    <n v="1140"/>
    <n v="829"/>
    <n v="416"/>
    <n v="708"/>
    <n v="113"/>
    <n v="11519"/>
    <n v="3845"/>
    <n v="388"/>
    <n v="47"/>
    <n v="27"/>
    <n v="230"/>
    <n v="84"/>
    <n v="10249"/>
    <n v="1223"/>
    <n v="7998"/>
    <n v="641"/>
    <n v="4345"/>
    <n v="8387"/>
    <n v="826"/>
    <n v="1828"/>
    <n v="374"/>
    <n v="389"/>
    <n v="185"/>
    <n v="0.11932871499658504"/>
    <x v="42"/>
    <n v="0.81832373890135623"/>
    <x v="41"/>
    <n v="0.78036881646989953"/>
    <n v="0.17835886427944189"/>
    <n v="1.2223667100130039E-2"/>
    <n v="7.0221066319895971E-3"/>
    <n v="5.9817945383615082E-2"/>
    <n v="2.1846553966189858E-2"/>
    <n v="4.3877885983149144E-2"/>
    <n v="0.672671285604311"/>
    <n v="0.70354118552732869"/>
    <n v="0.29384141647421091"/>
    <s v="Rainier Beach | Southeast"/>
    <s v="5Y23"/>
  </r>
  <r>
    <s v="Columbia City"/>
    <s v="CRA"/>
    <x v="10"/>
    <n v="17537"/>
    <n v="4634"/>
    <n v="12903"/>
    <n v="244"/>
    <n v="21059"/>
    <n v="1311"/>
    <n v="1376"/>
    <n v="429"/>
    <n v="400"/>
    <n v="410"/>
    <n v="333"/>
    <n v="16800"/>
    <n v="4750"/>
    <n v="343"/>
    <n v="47"/>
    <n v="44"/>
    <n v="181"/>
    <n v="71"/>
    <n v="14288"/>
    <n v="1166"/>
    <n v="11916"/>
    <n v="468"/>
    <n v="4259"/>
    <n v="12127"/>
    <n v="507"/>
    <n v="2161"/>
    <n v="659"/>
    <n v="211"/>
    <n v="39"/>
    <n v="8.1606942889137737E-2"/>
    <x v="43"/>
    <n v="0.84875419932810747"/>
    <x v="42"/>
    <n v="0.83398656215005595"/>
    <n v="0.1512458006718925"/>
    <n v="9.8947368421052635E-3"/>
    <n v="9.2631578947368429E-3"/>
    <n v="3.8105263157894739E-2"/>
    <n v="1.4947368421052631E-2"/>
    <n v="1.8910330930791287E-2"/>
    <n v="0.72184524148942242"/>
    <n v="0.73575868164452296"/>
    <n v="0.26424131835547698"/>
    <s v="Columbia City | Southeast"/>
    <s v="5Y23"/>
  </r>
  <r>
    <s v="Seward Park"/>
    <s v="CRA"/>
    <x v="10"/>
    <n v="8578"/>
    <n v="2721"/>
    <n v="5857"/>
    <n v="153"/>
    <n v="10896"/>
    <n v="369"/>
    <n v="79"/>
    <n v="150"/>
    <n v="438"/>
    <n v="51"/>
    <n v="497"/>
    <n v="9312"/>
    <n v="2785"/>
    <n v="74"/>
    <n v="48"/>
    <n v="26"/>
    <n v="0"/>
    <n v="0"/>
    <n v="6346"/>
    <n v="252"/>
    <n v="5250"/>
    <n v="59"/>
    <n v="1584"/>
    <n v="5394"/>
    <n v="71"/>
    <n v="952"/>
    <n v="181"/>
    <n v="144"/>
    <n v="12"/>
    <n v="3.9710053577056412E-2"/>
    <x v="44"/>
    <n v="0.84998424204223133"/>
    <x v="43"/>
    <n v="0.82729278285534191"/>
    <n v="0.15001575795776867"/>
    <n v="1.7235188509874325E-2"/>
    <n v="9.33572710951526E-3"/>
    <n v="0"/>
    <n v="0"/>
    <n v="2.6122588355813558E-2"/>
    <n v="0.6649568664024248"/>
    <n v="0.68279319188622056"/>
    <n v="0.31720680811377944"/>
    <s v="Seward Park | Southeast"/>
    <s v="5Y23"/>
  </r>
  <r>
    <s v="Mt. Baker/North Rainier"/>
    <s v="CRA"/>
    <x v="10"/>
    <n v="5939"/>
    <n v="1552"/>
    <n v="4387"/>
    <n v="128"/>
    <n v="7179"/>
    <n v="284"/>
    <n v="441"/>
    <n v="164"/>
    <n v="118"/>
    <n v="201"/>
    <n v="68"/>
    <n v="5903"/>
    <n v="1883"/>
    <n v="194"/>
    <n v="0"/>
    <n v="30"/>
    <n v="53"/>
    <n v="111"/>
    <n v="4563"/>
    <n v="460"/>
    <n v="3842"/>
    <n v="272"/>
    <n v="1276"/>
    <n v="3970"/>
    <n v="281"/>
    <n v="593"/>
    <n v="179"/>
    <n v="128"/>
    <n v="9"/>
    <n v="0.10081087004163927"/>
    <x v="45"/>
    <n v="0.87004163927240852"/>
    <x v="44"/>
    <n v="0.84198991891299579"/>
    <n v="0.12995836072759151"/>
    <n v="0"/>
    <n v="1.5932023366967606E-2"/>
    <n v="2.8146574614976102E-2"/>
    <n v="5.8948486457780142E-2"/>
    <n v="2.9177114201048553E-2"/>
    <n v="0.71712409496548235"/>
    <n v="0.73867654487287426"/>
    <n v="0.26132345512712579"/>
    <s v="Mt. Baker/North Rainier | Southeast"/>
    <s v="5Y23"/>
  </r>
  <r>
    <s v="Madrona/Leschi"/>
    <s v="CRA"/>
    <x v="11"/>
    <n v="10072"/>
    <n v="3485"/>
    <n v="6510"/>
    <n v="236"/>
    <n v="11733"/>
    <n v="803"/>
    <n v="247"/>
    <n v="137"/>
    <n v="270"/>
    <n v="411"/>
    <n v="88"/>
    <n v="9777"/>
    <n v="3136"/>
    <n v="262"/>
    <n v="17"/>
    <n v="98"/>
    <n v="147"/>
    <n v="0"/>
    <n v="7534"/>
    <n v="501"/>
    <n v="5718"/>
    <n v="174"/>
    <n v="1956"/>
    <n v="5914"/>
    <n v="191"/>
    <n v="1543"/>
    <n v="310"/>
    <n v="196"/>
    <n v="17"/>
    <n v="6.649853995221662E-2"/>
    <x v="46"/>
    <n v="0.78497478099283247"/>
    <x v="45"/>
    <n v="0.75895938412529862"/>
    <n v="0.20480488452349349"/>
    <n v="5.4209183673469387E-3"/>
    <n v="3.125E-2"/>
    <n v="4.6875E-2"/>
    <n v="0"/>
    <n v="3.6251920122887867E-2"/>
    <n v="0.62291501191421761"/>
    <n v="0.64634630659253378"/>
    <n v="0.3460087370929309"/>
    <s v="Madrona/Leschi | Central"/>
    <s v="5Y23"/>
  </r>
  <r>
    <s v="Judkins Park"/>
    <s v="CRA"/>
    <x v="11"/>
    <n v="3788"/>
    <n v="1146"/>
    <n v="2605"/>
    <n v="194"/>
    <n v="4222"/>
    <n v="384"/>
    <n v="434"/>
    <n v="374"/>
    <n v="267"/>
    <n v="168"/>
    <n v="111"/>
    <n v="2484"/>
    <n v="654"/>
    <n v="113"/>
    <n v="0"/>
    <n v="33"/>
    <n v="80"/>
    <n v="0"/>
    <n v="2917"/>
    <n v="329"/>
    <n v="2312"/>
    <n v="114"/>
    <n v="1738"/>
    <n v="2506"/>
    <n v="208"/>
    <n v="374"/>
    <n v="121"/>
    <n v="194"/>
    <n v="94"/>
    <n v="0.11278711004456633"/>
    <x v="47"/>
    <n v="0.85910181693520737"/>
    <x v="46"/>
    <n v="0.79259513198491605"/>
    <n v="0.12821391840932464"/>
    <n v="0"/>
    <n v="5.0458715596330278E-2"/>
    <n v="0.12232415902140673"/>
    <n v="0"/>
    <n v="7.4472168905950098E-2"/>
    <n v="0.63648363252375928"/>
    <n v="0.6876979936642027"/>
    <n v="0.30253431890179516"/>
    <s v="Judkins Park | Central"/>
    <s v="5Y23"/>
  </r>
  <r>
    <s v="Central Area/Squire Park"/>
    <s v="CRA"/>
    <x v="11"/>
    <n v="19601"/>
    <n v="4361"/>
    <n v="15193"/>
    <n v="737"/>
    <n v="21480"/>
    <n v="1561"/>
    <n v="1071"/>
    <n v="564"/>
    <n v="317"/>
    <n v="841"/>
    <n v="194"/>
    <n v="16932"/>
    <n v="3494"/>
    <n v="145"/>
    <n v="0"/>
    <n v="21"/>
    <n v="92"/>
    <n v="32"/>
    <n v="16917"/>
    <n v="1739"/>
    <n v="13996"/>
    <n v="603"/>
    <n v="4548"/>
    <n v="14590"/>
    <n v="732"/>
    <n v="2280"/>
    <n v="1007"/>
    <n v="594"/>
    <n v="129"/>
    <n v="0.10279600401962523"/>
    <x v="48"/>
    <n v="0.86244606017615422"/>
    <x v="47"/>
    <n v="0.82733345155760474"/>
    <n v="0.13477566944493705"/>
    <n v="0"/>
    <n v="6.0103033772180882E-3"/>
    <n v="2.633085289066972E-2"/>
    <n v="9.1585575271894669E-3"/>
    <n v="4.8509181860067134E-2"/>
    <n v="0.73751339217386869"/>
    <n v="0.77511351461660116"/>
    <n v="0.22248864853833988"/>
    <s v="Central Area/Squire Park | Central"/>
    <s v="5Y23"/>
  </r>
  <r>
    <s v="First Hill"/>
    <s v="CRA"/>
    <x v="12"/>
    <n v="18702"/>
    <n v="6039"/>
    <n v="12663"/>
    <n v="885"/>
    <n v="16492"/>
    <n v="1826"/>
    <n v="984"/>
    <n v="437"/>
    <n v="372"/>
    <n v="497"/>
    <n v="157"/>
    <n v="12219"/>
    <n v="2425"/>
    <n v="250"/>
    <n v="0"/>
    <n v="145"/>
    <n v="105"/>
    <n v="0"/>
    <n v="13568"/>
    <n v="1737"/>
    <n v="10984"/>
    <n v="578"/>
    <n v="4273"/>
    <n v="11683"/>
    <n v="909"/>
    <n v="1885"/>
    <n v="828"/>
    <n v="699"/>
    <n v="331"/>
    <n v="0.12802181603773585"/>
    <x v="49"/>
    <n v="0.86107016509433965"/>
    <x v="48"/>
    <n v="0.80955188679245282"/>
    <n v="0.13892983490566038"/>
    <n v="0"/>
    <n v="5.9793814432989693E-2"/>
    <n v="4.3298969072164947E-2"/>
    <n v="0"/>
    <n v="6.9888651978204222E-2"/>
    <n v="0.62977221687520046"/>
    <n v="0.67709335899903755"/>
    <n v="0.32290664100096245"/>
    <s v="First Hill | East"/>
    <s v="5Y23"/>
  </r>
  <r>
    <s v="Capitol Hill"/>
    <s v="CRA"/>
    <x v="12"/>
    <n v="26180"/>
    <n v="3347"/>
    <n v="22833"/>
    <n v="1209"/>
    <n v="26700"/>
    <n v="1713"/>
    <n v="1153"/>
    <n v="673"/>
    <n v="583"/>
    <n v="794"/>
    <n v="726"/>
    <n v="21058"/>
    <n v="2494"/>
    <n v="123"/>
    <n v="31"/>
    <n v="37"/>
    <n v="0"/>
    <n v="55"/>
    <n v="24486"/>
    <n v="2551"/>
    <n v="21207"/>
    <n v="1277"/>
    <n v="5642"/>
    <n v="22399"/>
    <n v="1663"/>
    <n v="2087"/>
    <n v="888"/>
    <n v="1192"/>
    <n v="386"/>
    <n v="0.1041819815404721"/>
    <x v="50"/>
    <n v="0.91476762231479214"/>
    <x v="49"/>
    <n v="0.86608674344523406"/>
    <n v="8.5232377685207875E-2"/>
    <n v="1.2429831595829992E-2"/>
    <n v="1.483560545308741E-2"/>
    <n v="0"/>
    <n v="2.2052927024859663E-2"/>
    <n v="5.2949678097490474E-2"/>
    <n v="0.82597402597402603"/>
    <n v="0.87215431627196338"/>
    <n v="0.12784568372803667"/>
    <s v="Capitol Hill | East"/>
    <s v="5Y23"/>
  </r>
  <r>
    <s v="North Capitol Hill"/>
    <s v="CRA"/>
    <x v="12"/>
    <n v="4420"/>
    <n v="855"/>
    <n v="3565"/>
    <n v="153"/>
    <n v="4773"/>
    <n v="224"/>
    <n v="66"/>
    <n v="26"/>
    <n v="35"/>
    <n v="125"/>
    <n v="63"/>
    <n v="4234"/>
    <n v="932"/>
    <n v="17"/>
    <n v="0"/>
    <n v="17"/>
    <n v="0"/>
    <n v="0"/>
    <n v="3856"/>
    <n v="250"/>
    <n v="3303"/>
    <n v="68"/>
    <n v="539"/>
    <n v="3456"/>
    <n v="156"/>
    <n v="400"/>
    <n v="94"/>
    <n v="153"/>
    <n v="88"/>
    <n v="6.4834024896265566E-2"/>
    <x v="51"/>
    <n v="0.89626556016597514"/>
    <x v="50"/>
    <n v="0.85658713692946054"/>
    <n v="0.1037344398340249"/>
    <n v="0"/>
    <n v="1.8240343347639486E-2"/>
    <n v="0"/>
    <n v="0"/>
    <n v="4.291725105189341E-2"/>
    <n v="0.7719457013574661"/>
    <n v="0.8065610859728507"/>
    <n v="0.19343891402714933"/>
    <s v="North Capitol Hill | East"/>
    <s v="5Y23"/>
  </r>
  <r>
    <s v="Miller Park"/>
    <s v="CRA"/>
    <x v="12"/>
    <n v="7298"/>
    <n v="2219"/>
    <n v="5079"/>
    <n v="168"/>
    <n v="8233"/>
    <n v="272"/>
    <n v="282"/>
    <n v="41"/>
    <n v="114"/>
    <n v="146"/>
    <n v="142"/>
    <n v="7236"/>
    <n v="1830"/>
    <n v="9"/>
    <n v="0"/>
    <n v="0"/>
    <n v="0"/>
    <n v="9"/>
    <n v="5837"/>
    <n v="382"/>
    <n v="4567"/>
    <n v="105"/>
    <n v="997"/>
    <n v="4704"/>
    <n v="181"/>
    <n v="1133"/>
    <n v="201"/>
    <n v="137"/>
    <n v="76"/>
    <n v="6.54445776940209E-2"/>
    <x v="52"/>
    <n v="0.80589343841014216"/>
    <x v="51"/>
    <n v="0.78242247729998282"/>
    <n v="0.19410656158985781"/>
    <n v="0"/>
    <n v="0"/>
    <n v="0"/>
    <n v="4.9180327868852463E-3"/>
    <n v="3.3077377436503248E-2"/>
    <n v="0.67292408879144971"/>
    <n v="0.69594409427240345"/>
    <n v="0.30405590572759661"/>
    <s v="Miller Park | East"/>
    <s v="5Y23"/>
  </r>
  <r>
    <s v="Madison Park"/>
    <s v="CRA"/>
    <x v="12"/>
    <n v="4933"/>
    <n v="1920"/>
    <n v="3013"/>
    <n v="441"/>
    <n v="5762"/>
    <n v="19"/>
    <n v="72"/>
    <n v="16"/>
    <n v="13"/>
    <n v="205"/>
    <n v="31"/>
    <n v="5406"/>
    <n v="1614"/>
    <n v="0"/>
    <n v="0"/>
    <n v="0"/>
    <n v="0"/>
    <n v="0"/>
    <n v="3299"/>
    <n v="72"/>
    <n v="2440"/>
    <n v="0"/>
    <n v="356"/>
    <n v="2881"/>
    <n v="72"/>
    <n v="418"/>
    <n v="0"/>
    <n v="441"/>
    <n v="72"/>
    <n v="2.1824795392543193E-2"/>
    <x v="53"/>
    <n v="0.8732949378599576"/>
    <x v="31"/>
    <n v="0.73961806608063052"/>
    <n v="0.12670506214004243"/>
    <n v="0"/>
    <n v="0"/>
    <n v="0"/>
    <n v="0"/>
    <n v="0.14636574842349817"/>
    <n v="0.52138658017433614"/>
    <n v="0.61078451246705856"/>
    <n v="0.38921548753294144"/>
    <s v="Madison Park | East"/>
    <s v="5Y23"/>
  </r>
  <r>
    <s v="Montlake/Portage Bay"/>
    <s v="CRA"/>
    <x v="13"/>
    <n v="8940"/>
    <n v="2045"/>
    <n v="6895"/>
    <n v="391"/>
    <n v="10314"/>
    <n v="355"/>
    <n v="563"/>
    <n v="75"/>
    <n v="161"/>
    <n v="181"/>
    <n v="38"/>
    <n v="8941"/>
    <n v="2414"/>
    <n v="95"/>
    <n v="34"/>
    <n v="26"/>
    <n v="26"/>
    <n v="9"/>
    <n v="7442"/>
    <n v="707"/>
    <n v="6137"/>
    <n v="412"/>
    <n v="1373"/>
    <n v="6528"/>
    <n v="497"/>
    <n v="914"/>
    <n v="210"/>
    <n v="391"/>
    <n v="85"/>
    <n v="9.5001343724805162E-2"/>
    <x v="54"/>
    <n v="0.87718355280838489"/>
    <x v="52"/>
    <n v="0.82464391292663264"/>
    <n v="0.12281644719161516"/>
    <n v="1.4084507042253521E-2"/>
    <n v="1.0770505385252692E-2"/>
    <n v="1.0770505385252692E-2"/>
    <n v="3.728251864125932E-3"/>
    <n v="5.6707759245830311E-2"/>
    <n v="0.72751677852348995"/>
    <n v="0.77125279642058164"/>
    <n v="0.22874720357941836"/>
    <s v="Montlake/Portage Bay | Northeast"/>
    <s v="5Y23"/>
  </r>
  <r>
    <s v="University District"/>
    <s v="CRA"/>
    <x v="13"/>
    <n v="22571"/>
    <n v="10142"/>
    <n v="12429"/>
    <n v="1043"/>
    <n v="14049"/>
    <n v="3881"/>
    <n v="1486"/>
    <n v="491"/>
    <n v="479"/>
    <n v="773"/>
    <n v="308"/>
    <n v="6631"/>
    <n v="1253"/>
    <n v="187"/>
    <n v="14"/>
    <n v="0"/>
    <n v="119"/>
    <n v="54"/>
    <n v="11825"/>
    <n v="4581"/>
    <n v="7962"/>
    <n v="1732"/>
    <n v="7418"/>
    <n v="8332"/>
    <n v="2026"/>
    <n v="3493"/>
    <n v="2555"/>
    <n v="370"/>
    <n v="294"/>
    <n v="0.387399577167019"/>
    <x v="55"/>
    <n v="0.70460887949260043"/>
    <x v="53"/>
    <n v="0.67331923890063428"/>
    <n v="0.29539112050739957"/>
    <n v="1.11731843575419E-2"/>
    <n v="0"/>
    <n v="9.4972067039106142E-2"/>
    <n v="4.3096568236233042E-2"/>
    <n v="8.3916646552417734E-2"/>
    <n v="0.50445261618891502"/>
    <n v="0.5506623543485003"/>
    <n v="0.4493376456514997"/>
    <s v="University District | Northeast"/>
    <s v="5Y23"/>
  </r>
  <r>
    <s v="Ravenna/Bryant"/>
    <s v="CRA"/>
    <x v="13"/>
    <n v="23569"/>
    <n v="6669"/>
    <n v="16890"/>
    <n v="550"/>
    <n v="26741"/>
    <n v="1819"/>
    <n v="1033"/>
    <n v="627"/>
    <n v="396"/>
    <n v="720"/>
    <n v="316"/>
    <n v="21830"/>
    <n v="5829"/>
    <n v="102"/>
    <n v="10"/>
    <n v="20"/>
    <n v="39"/>
    <n v="33"/>
    <n v="18651"/>
    <n v="2425"/>
    <n v="14898"/>
    <n v="865"/>
    <n v="4911"/>
    <n v="15339"/>
    <n v="1033"/>
    <n v="3302"/>
    <n v="1392"/>
    <n v="441"/>
    <n v="168"/>
    <n v="0.13001983807838721"/>
    <x v="56"/>
    <n v="0.82242239022036356"/>
    <x v="54"/>
    <n v="0.79877754543992274"/>
    <n v="0.17704144549890086"/>
    <n v="1.7155601303825698E-3"/>
    <n v="3.4311202607651397E-3"/>
    <n v="6.6906845084920225E-3"/>
    <n v="5.6613484302624811E-3"/>
    <n v="3.2563647128478389E-2"/>
    <n v="0.69328355042640755"/>
    <n v="0.71661928804785946"/>
    <n v="0.28295642581356867"/>
    <s v="Ravenna/Bryant | Northeast"/>
    <s v="5Y23"/>
  </r>
  <r>
    <s v="Wedgwood/View Ridge"/>
    <s v="CRA"/>
    <x v="13"/>
    <n v="14244"/>
    <n v="3911"/>
    <n v="10320"/>
    <n v="393"/>
    <n v="17392"/>
    <n v="171"/>
    <n v="514"/>
    <n v="109"/>
    <n v="214"/>
    <n v="278"/>
    <n v="254"/>
    <n v="15852"/>
    <n v="4742"/>
    <n v="95"/>
    <n v="6"/>
    <n v="89"/>
    <n v="0"/>
    <n v="0"/>
    <n v="10857"/>
    <n v="486"/>
    <n v="9158"/>
    <n v="248"/>
    <n v="1540"/>
    <n v="9438"/>
    <n v="265"/>
    <n v="1406"/>
    <n v="221"/>
    <n v="280"/>
    <n v="17"/>
    <n v="4.4763746891406463E-2"/>
    <x v="57"/>
    <n v="0.8693009118541033"/>
    <x v="55"/>
    <n v="0.84351109883024777"/>
    <n v="0.12950170396978908"/>
    <n v="1.2652889076339097E-3"/>
    <n v="1.8768452129902996E-2"/>
    <n v="0"/>
    <n v="0"/>
    <n v="3.8081395348837206E-2"/>
    <n v="0.69692502106149956"/>
    <n v="0.72451558550968831"/>
    <n v="0.274571749508565"/>
    <s v="Wedgwood/View Ridge | Northeast"/>
    <s v="5Y23"/>
  </r>
  <r>
    <s v="Laurelhurst/Sand Point"/>
    <s v="CRA"/>
    <x v="13"/>
    <n v="8634"/>
    <n v="3120"/>
    <n v="5485"/>
    <n v="226"/>
    <n v="11147"/>
    <n v="350"/>
    <n v="409"/>
    <n v="72"/>
    <n v="66"/>
    <n v="92"/>
    <n v="28"/>
    <n v="10130"/>
    <n v="3029"/>
    <n v="76"/>
    <n v="18"/>
    <n v="10"/>
    <n v="44"/>
    <n v="4"/>
    <n v="6032"/>
    <n v="524"/>
    <n v="4665"/>
    <n v="203"/>
    <n v="1017"/>
    <n v="4861"/>
    <n v="254"/>
    <n v="1142"/>
    <n v="270"/>
    <n v="196"/>
    <n v="51"/>
    <n v="8.6870026525198943E-2"/>
    <x v="58"/>
    <n v="0.80586870026525204"/>
    <x v="56"/>
    <n v="0.77337533156498672"/>
    <n v="0.1893236074270557"/>
    <n v="5.9425552987784746E-3"/>
    <n v="3.3014196104324861E-3"/>
    <n v="1.4526246285902938E-2"/>
    <n v="1.3205678441729944E-3"/>
    <n v="4.120328167730173E-2"/>
    <n v="0.6091035441278666"/>
    <n v="0.63527912902478578"/>
    <n v="0.36136205698401669"/>
    <s v="Laurelhurst/Sand Point | Northeast"/>
    <s v="5Y23"/>
  </r>
  <r>
    <s v="Northgate/Maple Leaf"/>
    <s v="CRA"/>
    <x v="0"/>
    <n v="15064"/>
    <n v="4879"/>
    <n v="10185"/>
    <n v="534"/>
    <n v="17199"/>
    <n v="1266"/>
    <n v="1047"/>
    <n v="587"/>
    <n v="304"/>
    <n v="274"/>
    <n v="282"/>
    <n v="13439"/>
    <n v="3955"/>
    <n v="502"/>
    <n v="12"/>
    <n v="170"/>
    <n v="203"/>
    <n v="117"/>
    <n v="11406"/>
    <n v="1690"/>
    <n v="8865"/>
    <n v="469"/>
    <n v="3760"/>
    <n v="9323"/>
    <n v="527"/>
    <n v="2083"/>
    <n v="1163"/>
    <n v="458"/>
    <n v="58"/>
    <n v="0.14816763107136594"/>
    <x v="59"/>
    <n v="0.81737681921795546"/>
    <x v="57"/>
    <n v="0.77722251446607049"/>
    <n v="0.18262318078204454"/>
    <n v="3.0341340075853351E-3"/>
    <n v="4.2983565107458911E-2"/>
    <n v="5.1327433628318583E-2"/>
    <n v="2.9582806573957017E-2"/>
    <n v="5.2430044182621503E-2"/>
    <n v="0.64066648964418482"/>
    <n v="0.6761152416356877"/>
    <n v="0.32388475836431224"/>
    <s v="Northgate/Maple Leaf | North"/>
    <s v="5Y23"/>
  </r>
  <r>
    <s v="Outside Villages"/>
    <s v="UCUV"/>
    <x v="14"/>
    <n v="340150"/>
    <n v="92665"/>
    <n v="247082"/>
    <n v="9084"/>
    <n v="402638"/>
    <n v="14775"/>
    <n v="11738"/>
    <n v="5933"/>
    <n v="5735"/>
    <n v="9839"/>
    <n v="4791"/>
    <n v="349827"/>
    <n v="97543"/>
    <n v="3136"/>
    <n v="528"/>
    <n v="793"/>
    <n v="1209"/>
    <n v="606"/>
    <n v="266199"/>
    <n v="17835"/>
    <n v="220723"/>
    <n v="6877"/>
    <n v="52811"/>
    <n v="228766"/>
    <n v="9049"/>
    <n v="37097"/>
    <n v="8786"/>
    <n v="8043"/>
    <n v="2172"/>
    <n v="6.6998749056157242E-2"/>
    <x v="60"/>
    <n v="0.85937963703845621"/>
    <x v="58"/>
    <n v="0.82916539881817741"/>
    <n v="0.13935814935443033"/>
    <n v="5.4129973447607721E-3"/>
    <n v="8.1297479060516899E-3"/>
    <n v="1.2394533692832905E-2"/>
    <n v="6.2126446797822503E-3"/>
    <n v="3.6765122509935973E-2"/>
    <n v="0.69968543289725116"/>
    <n v="0.72639129795678381"/>
    <n v="0.27242393061884462"/>
    <s v="Outside Villages | Outside Villages"/>
    <s v="5Y23"/>
  </r>
  <r>
    <s v="Aurora-Licton Springs"/>
    <s v="UCUV"/>
    <x v="15"/>
    <n v="7448"/>
    <n v="1501"/>
    <n v="5947"/>
    <n v="246"/>
    <n v="8062"/>
    <n v="579"/>
    <n v="268"/>
    <n v="123"/>
    <n v="293"/>
    <n v="274"/>
    <n v="155"/>
    <n v="6370"/>
    <n v="1227"/>
    <n v="62"/>
    <n v="0"/>
    <n v="0"/>
    <n v="13"/>
    <n v="49"/>
    <n v="6616"/>
    <n v="647"/>
    <n v="5468"/>
    <n v="155"/>
    <n v="1692"/>
    <n v="5709"/>
    <n v="255"/>
    <n v="907"/>
    <n v="392"/>
    <n v="241"/>
    <n v="100"/>
    <n v="9.7793228536880286E-2"/>
    <x v="61"/>
    <n v="0.86290810157194675"/>
    <x v="59"/>
    <n v="0.82648125755743651"/>
    <n v="0.13709189842805319"/>
    <n v="0"/>
    <n v="0"/>
    <n v="1.0594947025264874E-2"/>
    <n v="3.9934800325998367E-2"/>
    <n v="4.1365394316462079E-2"/>
    <n v="0.76544038668098824"/>
    <n v="0.79846938775510201"/>
    <n v="0.20153061224489796"/>
    <s v="Aurora-Licton Springs | Residential Urban Village"/>
    <s v="5Y23"/>
  </r>
  <r>
    <s v="Greenwood-Phinney Ridge"/>
    <s v="UCUV"/>
    <x v="15"/>
    <n v="2707"/>
    <n v="424"/>
    <n v="2253"/>
    <n v="75"/>
    <n v="2880"/>
    <n v="77"/>
    <n v="31"/>
    <n v="98"/>
    <n v="16"/>
    <n v="144"/>
    <n v="0"/>
    <n v="2514"/>
    <n v="626"/>
    <n v="0"/>
    <n v="0"/>
    <n v="0"/>
    <n v="0"/>
    <n v="0"/>
    <n v="2469"/>
    <n v="88"/>
    <n v="2105"/>
    <n v="44"/>
    <n v="366"/>
    <n v="2180"/>
    <n v="44"/>
    <n v="259"/>
    <n v="44"/>
    <n v="75"/>
    <n v="0"/>
    <n v="3.5641960307816932E-2"/>
    <x v="62"/>
    <n v="0.88294856217091944"/>
    <x v="31"/>
    <n v="0.85257189145403001"/>
    <n v="0.10490076954232483"/>
    <n v="0"/>
    <n v="0"/>
    <n v="0"/>
    <n v="0"/>
    <n v="3.3288948069241014E-2"/>
    <n v="0.80458071666050979"/>
    <n v="0.83228666420391573"/>
    <n v="0.15663095677872182"/>
    <s v="Greenwood-Phinney Ridge | Residential Urban Village"/>
    <s v="5Y23"/>
  </r>
  <r>
    <s v="Crown Hill"/>
    <s v="UCUV"/>
    <x v="15"/>
    <n v="3577"/>
    <n v="763"/>
    <n v="2814"/>
    <n v="71"/>
    <n v="4395"/>
    <n v="66"/>
    <n v="138"/>
    <n v="26"/>
    <n v="12"/>
    <n v="48"/>
    <n v="0"/>
    <n v="4105"/>
    <n v="1051"/>
    <n v="41"/>
    <n v="13"/>
    <n v="0"/>
    <n v="28"/>
    <n v="0"/>
    <n v="2993"/>
    <n v="130"/>
    <n v="2501"/>
    <n v="8"/>
    <n v="290"/>
    <n v="2543"/>
    <n v="24"/>
    <n v="450"/>
    <n v="106"/>
    <n v="42"/>
    <n v="16"/>
    <n v="4.3434680922151685E-2"/>
    <x v="63"/>
    <n v="0.84964918142332113"/>
    <x v="60"/>
    <n v="0.83561643835616439"/>
    <n v="0.15035081857667892"/>
    <n v="1.2369172216936251E-2"/>
    <n v="0"/>
    <n v="2.6641294005708849E-2"/>
    <n v="0"/>
    <n v="2.523098791755508E-2"/>
    <n v="0.76684372379088617"/>
    <n v="0.78669275929549898"/>
    <n v="0.21330724070450097"/>
    <s v="Crown Hill | Residential Urban Village"/>
    <s v="5Y23"/>
  </r>
  <r>
    <s v="Upper Queen Anne"/>
    <s v="UCUV"/>
    <x v="15"/>
    <n v="4684"/>
    <n v="1137"/>
    <n v="3522"/>
    <n v="36"/>
    <n v="4974"/>
    <n v="174"/>
    <n v="220"/>
    <n v="78"/>
    <n v="32"/>
    <n v="163"/>
    <n v="20"/>
    <n v="4287"/>
    <n v="949"/>
    <n v="28"/>
    <n v="0"/>
    <n v="28"/>
    <n v="0"/>
    <n v="0"/>
    <n v="3860"/>
    <n v="351"/>
    <n v="3238"/>
    <n v="46"/>
    <n v="687"/>
    <n v="3274"/>
    <n v="47"/>
    <n v="561"/>
    <n v="304"/>
    <n v="36"/>
    <n v="1"/>
    <n v="9.0932642487046633E-2"/>
    <x v="64"/>
    <n v="0.84818652849740928"/>
    <x v="61"/>
    <n v="0.83886010362694297"/>
    <n v="0.14533678756476684"/>
    <n v="0"/>
    <n v="2.9504741833508957E-2"/>
    <n v="0"/>
    <n v="0"/>
    <n v="1.0221465076660987E-2"/>
    <n v="0.74423569598633643"/>
    <n v="0.75192143467122119"/>
    <n v="0.24274124679760889"/>
    <s v="Upper Queen Anne | Residential Urban Village"/>
    <s v="5Y23"/>
  </r>
  <r>
    <s v="Eastlake"/>
    <s v="UCUV"/>
    <x v="15"/>
    <n v="5663"/>
    <n v="892"/>
    <n v="4771"/>
    <n v="280"/>
    <n v="5852"/>
    <n v="257"/>
    <n v="404"/>
    <n v="35"/>
    <n v="106"/>
    <n v="112"/>
    <n v="18"/>
    <n v="4920"/>
    <n v="954"/>
    <n v="34"/>
    <n v="17"/>
    <n v="0"/>
    <n v="17"/>
    <n v="0"/>
    <n v="5081"/>
    <n v="571"/>
    <n v="4317"/>
    <n v="285"/>
    <n v="932"/>
    <n v="4597"/>
    <n v="402"/>
    <n v="484"/>
    <n v="169"/>
    <n v="280"/>
    <n v="117"/>
    <n v="0.11237945286360952"/>
    <x v="65"/>
    <n v="0.90474316079511907"/>
    <x v="62"/>
    <n v="0.84963589844518794"/>
    <n v="9.5256839204880928E-2"/>
    <n v="1.781970649895178E-2"/>
    <n v="0"/>
    <n v="1.781970649895178E-2"/>
    <n v="0"/>
    <n v="5.8687906099350241E-2"/>
    <n v="0.79304255694861381"/>
    <n v="0.84248631467420099"/>
    <n v="0.15751368532579904"/>
    <s v="Eastlake | Residential Urban Village"/>
    <s v="5Y23"/>
  </r>
  <r>
    <s v="23rd &amp; Union-Jackson"/>
    <s v="UCUV"/>
    <x v="15"/>
    <n v="15043"/>
    <n v="4341"/>
    <n v="10652"/>
    <n v="593"/>
    <n v="16424"/>
    <n v="1652"/>
    <n v="1088"/>
    <n v="811"/>
    <n v="357"/>
    <n v="628"/>
    <n v="310"/>
    <n v="11578"/>
    <n v="3319"/>
    <n v="401"/>
    <n v="0"/>
    <n v="144"/>
    <n v="244"/>
    <n v="13"/>
    <n v="11915"/>
    <n v="1440"/>
    <n v="9536"/>
    <n v="546"/>
    <n v="4846"/>
    <n v="10108"/>
    <n v="769"/>
    <n v="1757"/>
    <n v="671"/>
    <n v="572"/>
    <n v="223"/>
    <n v="0.12085606378514478"/>
    <x v="66"/>
    <n v="0.84834242551405792"/>
    <x v="63"/>
    <n v="0.80033571128829206"/>
    <n v="0.14746118338229122"/>
    <n v="0"/>
    <n v="4.3386562217535403E-2"/>
    <n v="7.3516119313046094E-2"/>
    <n v="3.9168424224163903E-3"/>
    <n v="5.5670296657904621E-2"/>
    <n v="0.6686831084225221"/>
    <n v="0.70810343681446519"/>
    <n v="0.28857275809346539"/>
    <s v="23rd &amp; Union-Jackson | Residential Urban Village"/>
    <s v="5Y23"/>
  </r>
  <r>
    <s v="North Beacon Hill"/>
    <s v="UCUV"/>
    <x v="15"/>
    <n v="6320"/>
    <n v="1462"/>
    <n v="4858"/>
    <n v="145"/>
    <n v="6966"/>
    <n v="284"/>
    <n v="501"/>
    <n v="176"/>
    <n v="141"/>
    <n v="222"/>
    <n v="127"/>
    <n v="5515"/>
    <n v="1622"/>
    <n v="184"/>
    <n v="43"/>
    <n v="100"/>
    <n v="41"/>
    <n v="0"/>
    <n v="5272"/>
    <n v="412"/>
    <n v="4491"/>
    <n v="260"/>
    <n v="1451"/>
    <n v="4604"/>
    <n v="283"/>
    <n v="668"/>
    <n v="129"/>
    <n v="113"/>
    <n v="23"/>
    <n v="7.8148710166919572E-2"/>
    <x v="67"/>
    <n v="0.87329286798179062"/>
    <x v="64"/>
    <n v="0.85185887708649466"/>
    <n v="0.12670713201820941"/>
    <n v="2.6510480887792849E-2"/>
    <n v="6.1652281134401972E-2"/>
    <n v="2.5277435265104811E-2"/>
    <n v="0"/>
    <n v="2.984767393989296E-2"/>
    <n v="0.7457278481012658"/>
    <n v="0.76867088607594936"/>
    <n v="0.23132911392405064"/>
    <s v="North Beacon Hill | Residential Urban Village"/>
    <s v="5Y23"/>
  </r>
  <r>
    <s v="Columbia City"/>
    <s v="UCUV"/>
    <x v="15"/>
    <n v="6515"/>
    <n v="1758"/>
    <n v="4757"/>
    <n v="96"/>
    <n v="8214"/>
    <n v="628"/>
    <n v="1310"/>
    <n v="467"/>
    <n v="106"/>
    <n v="21"/>
    <n v="34"/>
    <n v="5648"/>
    <n v="1793"/>
    <n v="277"/>
    <n v="39"/>
    <n v="0"/>
    <n v="119"/>
    <n v="119"/>
    <n v="5501"/>
    <n v="845"/>
    <n v="4495"/>
    <n v="337"/>
    <n v="2566"/>
    <n v="4566"/>
    <n v="361"/>
    <n v="935"/>
    <n v="484"/>
    <n v="71"/>
    <n v="24"/>
    <n v="0.15360843483003089"/>
    <x v="68"/>
    <n v="0.83003090347209596"/>
    <x v="65"/>
    <n v="0.81712415924377391"/>
    <n v="0.16996909652790401"/>
    <n v="2.1751254880089235E-2"/>
    <n v="0"/>
    <n v="6.6369213608477418E-2"/>
    <n v="6.6369213608477418E-2"/>
    <n v="2.0180786209796089E-2"/>
    <n v="0.71542594013814276"/>
    <n v="0.73016116653875673"/>
    <n v="0.26983883346124327"/>
    <s v="Columbia City | Residential Urban Village"/>
    <s v="5Y23"/>
  </r>
  <r>
    <s v="Admiral"/>
    <s v="UCUV"/>
    <x v="15"/>
    <n v="2277"/>
    <n v="771"/>
    <n v="1506"/>
    <n v="144"/>
    <n v="2742"/>
    <n v="28"/>
    <n v="44"/>
    <n v="133"/>
    <n v="69"/>
    <n v="99"/>
    <n v="155"/>
    <n v="2214"/>
    <n v="648"/>
    <n v="8"/>
    <n v="0"/>
    <n v="0"/>
    <n v="8"/>
    <n v="0"/>
    <n v="1595"/>
    <n v="40"/>
    <n v="1242"/>
    <n v="34"/>
    <n v="528"/>
    <n v="1386"/>
    <n v="38"/>
    <n v="209"/>
    <n v="2"/>
    <n v="144"/>
    <n v="4"/>
    <n v="2.5078369905956112E-2"/>
    <x v="69"/>
    <n v="0.86896551724137927"/>
    <x v="66"/>
    <n v="0.77868338557993733"/>
    <n v="0.1310344827586207"/>
    <n v="0"/>
    <n v="0"/>
    <n v="1.2345679012345678E-2"/>
    <n v="0"/>
    <n v="9.5617529880478086E-2"/>
    <n v="0.59815546772068506"/>
    <n v="0.66139657444005273"/>
    <n v="0.33860342555994732"/>
    <s v="Admiral | Residential Urban Village"/>
    <s v="5Y23"/>
  </r>
  <r>
    <s v="Bitter Lake Village"/>
    <s v="UCUV"/>
    <x v="16"/>
    <n v="5862"/>
    <n v="1867"/>
    <n v="3995"/>
    <n v="270"/>
    <n v="6922"/>
    <n v="376"/>
    <n v="747"/>
    <n v="83"/>
    <n v="166"/>
    <n v="701"/>
    <n v="44"/>
    <n v="4805"/>
    <n v="1484"/>
    <n v="186"/>
    <n v="51"/>
    <n v="31"/>
    <n v="81"/>
    <n v="23"/>
    <n v="4380"/>
    <n v="520"/>
    <n v="3430"/>
    <n v="220"/>
    <n v="2117"/>
    <n v="3700"/>
    <n v="296"/>
    <n v="680"/>
    <n v="224"/>
    <n v="270"/>
    <n v="76"/>
    <n v="0.11872146118721461"/>
    <x v="70"/>
    <n v="0.84474885844748859"/>
    <x v="67"/>
    <n v="0.78310502283105021"/>
    <n v="0.15525114155251141"/>
    <n v="3.436657681940701E-2"/>
    <n v="2.0889487870619946E-2"/>
    <n v="5.4582210242587602E-2"/>
    <n v="1.5498652291105121E-2"/>
    <n v="6.7584480600750937E-2"/>
    <n v="0.63544865233708636"/>
    <n v="0.68150801774138514"/>
    <n v="0.3184919822586148"/>
    <s v="Bitter Lake Village | Hub Urban Village"/>
    <s v="5Y23"/>
  </r>
  <r>
    <s v="Othello"/>
    <s v="UCUV"/>
    <x v="15"/>
    <n v="11987"/>
    <n v="4228"/>
    <n v="7752"/>
    <n v="281"/>
    <n v="14316"/>
    <n v="802"/>
    <n v="1936"/>
    <n v="814"/>
    <n v="589"/>
    <n v="729"/>
    <n v="357"/>
    <n v="9089"/>
    <n v="3031"/>
    <n v="377"/>
    <n v="162"/>
    <n v="111"/>
    <n v="62"/>
    <n v="42"/>
    <n v="9200"/>
    <n v="1305"/>
    <n v="7007"/>
    <n v="377"/>
    <n v="5227"/>
    <n v="7234"/>
    <n v="439"/>
    <n v="1959"/>
    <n v="866"/>
    <n v="227"/>
    <n v="62"/>
    <n v="0.14184782608695654"/>
    <x v="71"/>
    <n v="0.78630434782608694"/>
    <x v="68"/>
    <n v="0.76163043478260872"/>
    <n v="0.21293478260869564"/>
    <n v="5.3447707027383703E-2"/>
    <n v="3.6621577037281423E-2"/>
    <n v="2.0455295282085121E-2"/>
    <n v="1.3856812933025405E-2"/>
    <n v="3.6248710010319915E-2"/>
    <n v="0.62325853007424714"/>
    <n v="0.64670059230833399"/>
    <n v="0.35271544172853925"/>
    <s v="Othello | Residential Urban Village"/>
    <s v="5Y23"/>
  </r>
  <r>
    <s v="Westwood-Highland Park"/>
    <s v="UCUV"/>
    <x v="15"/>
    <n v="5235"/>
    <n v="1045"/>
    <n v="4190"/>
    <n v="176"/>
    <n v="6127"/>
    <n v="55"/>
    <n v="168"/>
    <n v="186"/>
    <n v="114"/>
    <n v="126"/>
    <n v="111"/>
    <n v="5367"/>
    <n v="1519"/>
    <n v="19"/>
    <n v="0"/>
    <n v="0"/>
    <n v="0"/>
    <n v="19"/>
    <n v="4252"/>
    <n v="149"/>
    <n v="3857"/>
    <n v="69"/>
    <n v="760"/>
    <n v="3953"/>
    <n v="99"/>
    <n v="299"/>
    <n v="50"/>
    <n v="96"/>
    <n v="30"/>
    <n v="3.5042333019755408E-2"/>
    <x v="72"/>
    <n v="0.9296801505174036"/>
    <x v="69"/>
    <n v="0.90710253998118529"/>
    <n v="7.0319849482596425E-2"/>
    <n v="0"/>
    <n v="0"/>
    <n v="0"/>
    <n v="1.2508229098090849E-2"/>
    <n v="4.2004773269689738E-2"/>
    <n v="0.76676217765042975"/>
    <n v="0.80038204393505252"/>
    <n v="0.19961795606494748"/>
    <s v="Westwood-Highland Park | Residential Urban Village"/>
    <s v="5Y23"/>
  </r>
  <r>
    <s v="South Park"/>
    <s v="UCUV"/>
    <x v="15"/>
    <n v="3281"/>
    <n v="793"/>
    <n v="2401"/>
    <n v="160"/>
    <n v="4003"/>
    <n v="323"/>
    <n v="558"/>
    <n v="198"/>
    <n v="362"/>
    <n v="172"/>
    <n v="9"/>
    <n v="2381"/>
    <n v="900"/>
    <n v="162"/>
    <n v="52"/>
    <n v="0"/>
    <n v="101"/>
    <n v="9"/>
    <n v="2651"/>
    <n v="470"/>
    <n v="2062"/>
    <n v="205"/>
    <n v="1622"/>
    <n v="2222"/>
    <n v="255"/>
    <n v="342"/>
    <n v="215"/>
    <n v="160"/>
    <n v="50"/>
    <n v="0.17729158807996984"/>
    <x v="36"/>
    <n v="0.83817427385892118"/>
    <x v="36"/>
    <n v="0.77781969068276124"/>
    <n v="0.12900792153904186"/>
    <n v="5.7777777777777775E-2"/>
    <n v="0"/>
    <n v="0.11222222222222222"/>
    <n v="0.01"/>
    <n v="6.6638900458142442E-2"/>
    <n v="0.68302346845473938"/>
    <n v="0.73178908869247183"/>
    <n v="0.2416946053032612"/>
    <s v="South Park | Residential Urban Village"/>
    <s v="5Y23"/>
  </r>
  <r>
    <s v="Madison-Miller"/>
    <s v="UCUV"/>
    <x v="15"/>
    <n v="7960"/>
    <n v="1480"/>
    <n v="6480"/>
    <n v="260"/>
    <n v="8468"/>
    <n v="474"/>
    <n v="363"/>
    <n v="121"/>
    <n v="212"/>
    <n v="110"/>
    <n v="76"/>
    <n v="7112"/>
    <n v="1262"/>
    <n v="15"/>
    <n v="0"/>
    <n v="0"/>
    <n v="15"/>
    <n v="0"/>
    <n v="7137"/>
    <n v="649"/>
    <n v="6054"/>
    <n v="167"/>
    <n v="1356"/>
    <n v="6314"/>
    <n v="232"/>
    <n v="823"/>
    <n v="417"/>
    <n v="260"/>
    <n v="65"/>
    <n v="9.0934566344402404E-2"/>
    <x v="73"/>
    <n v="0.88468544206249122"/>
    <x v="70"/>
    <n v="0.84825556956704495"/>
    <n v="0.11531455793750876"/>
    <n v="0"/>
    <n v="0"/>
    <n v="1.1885895404120444E-2"/>
    <n v="0"/>
    <n v="4.0123456790123455E-2"/>
    <n v="0.78140703517587939"/>
    <n v="0.81407035175879394"/>
    <n v="0.18592964824120603"/>
    <s v="Madison-Miller | Residential Urban Village"/>
    <s v="5Y23"/>
  </r>
  <r>
    <s v="Lake City"/>
    <s v="UCUV"/>
    <x v="16"/>
    <n v="4585"/>
    <n v="1189"/>
    <n v="3396"/>
    <n v="150"/>
    <n v="5355"/>
    <n v="144"/>
    <n v="574"/>
    <n v="231"/>
    <n v="108"/>
    <n v="164"/>
    <n v="60"/>
    <n v="4074"/>
    <n v="896"/>
    <n v="55"/>
    <n v="40"/>
    <n v="0"/>
    <n v="0"/>
    <n v="15"/>
    <n v="3721"/>
    <n v="463"/>
    <n v="3123"/>
    <n v="211"/>
    <n v="1281"/>
    <n v="3273"/>
    <n v="267"/>
    <n v="448"/>
    <n v="196"/>
    <n v="150"/>
    <n v="56"/>
    <n v="0.12442891695780704"/>
    <x v="74"/>
    <n v="0.87960225745767262"/>
    <x v="71"/>
    <n v="0.83929051330287552"/>
    <n v="0.12039774254232734"/>
    <n v="4.4642857142857144E-2"/>
    <n v="0"/>
    <n v="0"/>
    <n v="1.6741071428571428E-2"/>
    <n v="4.4169611307420496E-2"/>
    <n v="0.70796074154852784"/>
    <n v="0.74067611777535447"/>
    <n v="0.25932388222464559"/>
    <s v="Lake City | Hub Urban Village"/>
    <s v="5Y23"/>
  </r>
  <r>
    <s v="Roosevelt"/>
    <s v="UCUV"/>
    <x v="15"/>
    <n v="4080"/>
    <n v="627"/>
    <n v="3453"/>
    <n v="95"/>
    <n v="4377"/>
    <n v="147"/>
    <n v="208"/>
    <n v="64"/>
    <n v="216"/>
    <n v="105"/>
    <n v="8"/>
    <n v="3629"/>
    <n v="617"/>
    <n v="0"/>
    <n v="0"/>
    <n v="0"/>
    <n v="0"/>
    <n v="0"/>
    <n v="3652"/>
    <n v="355"/>
    <n v="3267"/>
    <n v="206"/>
    <n v="748"/>
    <n v="3351"/>
    <n v="206"/>
    <n v="301"/>
    <n v="149"/>
    <n v="84"/>
    <n v="0"/>
    <n v="9.720700985761227E-2"/>
    <x v="75"/>
    <n v="0.91757940854326392"/>
    <x v="31"/>
    <n v="0.89457831325301207"/>
    <n v="8.2420591456736039E-2"/>
    <n v="0"/>
    <n v="0"/>
    <n v="0"/>
    <n v="0"/>
    <n v="2.7512308137851143E-2"/>
    <n v="0.82303921568627447"/>
    <n v="0.8463235294117647"/>
    <n v="0.1536764705882353"/>
    <s v="Roosevelt | Residential Urban Village"/>
    <s v="5Y23"/>
  </r>
  <r>
    <s v="Wallingford"/>
    <s v="UCUV"/>
    <x v="15"/>
    <n v="6336"/>
    <n v="1198"/>
    <n v="5138"/>
    <n v="223"/>
    <n v="7424"/>
    <n v="287"/>
    <n v="251"/>
    <n v="96"/>
    <n v="268"/>
    <n v="271"/>
    <n v="65"/>
    <n v="6186"/>
    <n v="1340"/>
    <n v="23"/>
    <n v="1"/>
    <n v="9"/>
    <n v="13"/>
    <n v="0"/>
    <n v="5527"/>
    <n v="450"/>
    <n v="4750"/>
    <n v="275"/>
    <n v="1238"/>
    <n v="4891"/>
    <n v="275"/>
    <n v="636"/>
    <n v="175"/>
    <n v="141"/>
    <n v="0"/>
    <n v="8.1418491043965979E-2"/>
    <x v="76"/>
    <n v="0.88492853265786142"/>
    <x v="72"/>
    <n v="0.8594174054640854"/>
    <n v="0.11507146734213859"/>
    <n v="7.4626865671641792E-4"/>
    <n v="6.7164179104477612E-3"/>
    <n v="9.7014925373134324E-3"/>
    <n v="0"/>
    <n v="4.3402101985208254E-2"/>
    <n v="0.77572601010101006"/>
    <n v="0.81092171717171713"/>
    <n v="0.18907828282828282"/>
    <s v="Wallingford | Residential Urban Village"/>
    <s v="5Y23"/>
  </r>
  <r>
    <s v="Rainier Beach"/>
    <s v="UCUV"/>
    <x v="15"/>
    <n v="4911"/>
    <n v="1485"/>
    <n v="3403"/>
    <n v="264"/>
    <n v="6428"/>
    <n v="943"/>
    <n v="508"/>
    <n v="547"/>
    <n v="189"/>
    <n v="139"/>
    <n v="34"/>
    <n v="4068"/>
    <n v="1411"/>
    <n v="226"/>
    <n v="18"/>
    <n v="0"/>
    <n v="208"/>
    <n v="0"/>
    <n v="3858"/>
    <n v="703"/>
    <n v="2685"/>
    <n v="129"/>
    <n v="2360"/>
    <n v="2940"/>
    <n v="311"/>
    <n v="895"/>
    <n v="369"/>
    <n v="255"/>
    <n v="182"/>
    <n v="0.18221876620010369"/>
    <x v="77"/>
    <n v="0.76205287713841363"/>
    <x v="73"/>
    <n v="0.69595645412130636"/>
    <n v="0.23198548470710212"/>
    <n v="1.2756909992912827E-2"/>
    <n v="0"/>
    <n v="0.147413182140326"/>
    <n v="0"/>
    <n v="7.7578607111372322E-2"/>
    <n v="0.6391773569537772"/>
    <n v="0.6929342292812054"/>
    <n v="0.30238240684178375"/>
    <s v="Rainier Beach | Residential Urban Village"/>
    <s v="5Y23"/>
  </r>
  <r>
    <s v="West Seattle Junction"/>
    <s v="UCUV"/>
    <x v="16"/>
    <n v="8337"/>
    <n v="1598"/>
    <n v="6675"/>
    <n v="212"/>
    <n v="8950"/>
    <n v="452"/>
    <n v="447"/>
    <n v="230"/>
    <n v="78"/>
    <n v="249"/>
    <n v="82"/>
    <n v="7412"/>
    <n v="1686"/>
    <n v="65"/>
    <n v="45"/>
    <n v="20"/>
    <n v="0"/>
    <n v="0"/>
    <n v="7216"/>
    <n v="736"/>
    <n v="6283"/>
    <n v="423"/>
    <n v="1538"/>
    <n v="6479"/>
    <n v="482"/>
    <n v="673"/>
    <n v="254"/>
    <n v="196"/>
    <n v="59"/>
    <n v="0.10199556541019955"/>
    <x v="78"/>
    <n v="0.89786585365853655"/>
    <x v="74"/>
    <n v="0.87070399113082042"/>
    <n v="9.3264966740576494E-2"/>
    <n v="2.6690391459074734E-2"/>
    <n v="1.1862396204033215E-2"/>
    <n v="0"/>
    <n v="0"/>
    <n v="3.1760299625468162E-2"/>
    <n v="0.77521890368237978"/>
    <n v="0.80064771500539766"/>
    <n v="0.1916756627084083"/>
    <s v="West Seattle Junction | Hub Urban Village"/>
    <s v="5Y23"/>
  </r>
  <r>
    <s v="Morgan Junction"/>
    <s v="UCUV"/>
    <x v="15"/>
    <n v="4174"/>
    <n v="891"/>
    <n v="3283"/>
    <n v="157"/>
    <n v="4907"/>
    <n v="71"/>
    <n v="337"/>
    <n v="48"/>
    <n v="135"/>
    <n v="81"/>
    <n v="0"/>
    <n v="4235"/>
    <n v="1163"/>
    <n v="0"/>
    <n v="0"/>
    <n v="0"/>
    <n v="0"/>
    <n v="0"/>
    <n v="3476"/>
    <n v="366"/>
    <n v="2958"/>
    <n v="179"/>
    <n v="672"/>
    <n v="3097"/>
    <n v="278"/>
    <n v="379"/>
    <n v="88"/>
    <n v="139"/>
    <n v="99"/>
    <n v="0.10529344073647871"/>
    <x v="79"/>
    <n v="0.89096662830840045"/>
    <x v="31"/>
    <n v="0.85097813578826242"/>
    <n v="0.10903337169159955"/>
    <n v="0"/>
    <n v="0"/>
    <n v="0"/>
    <n v="0"/>
    <n v="4.7822113920194941E-2"/>
    <n v="0.74892189746046955"/>
    <n v="0.78653569717297556"/>
    <n v="0.21346430282702444"/>
    <s v="Morgan Junction | Residential Urban Village"/>
    <s v="5Y23"/>
  </r>
  <r>
    <s v="Green Lake"/>
    <s v="UCUV"/>
    <x v="15"/>
    <n v="3544"/>
    <n v="872"/>
    <n v="2672"/>
    <n v="120"/>
    <n v="3601"/>
    <n v="106"/>
    <n v="208"/>
    <n v="57"/>
    <n v="238"/>
    <n v="65"/>
    <n v="28"/>
    <n v="2899"/>
    <n v="576"/>
    <n v="38"/>
    <n v="0"/>
    <n v="0"/>
    <n v="19"/>
    <n v="19"/>
    <n v="2876"/>
    <n v="260"/>
    <n v="2473"/>
    <n v="45"/>
    <n v="702"/>
    <n v="2593"/>
    <n v="71"/>
    <n v="283"/>
    <n v="189"/>
    <n v="120"/>
    <n v="26"/>
    <n v="9.0403337969401948E-2"/>
    <x v="80"/>
    <n v="0.90159944367176637"/>
    <x v="75"/>
    <n v="0.85987482614742694"/>
    <n v="9.8400556328233663E-2"/>
    <n v="0"/>
    <n v="0"/>
    <n v="3.2986111111111112E-2"/>
    <n v="3.2986111111111112E-2"/>
    <n v="4.4910179640718563E-2"/>
    <n v="0.72009029345372455"/>
    <n v="0.75395033860045146"/>
    <n v="0.24604966139954854"/>
    <s v="Green Lake | Residential Urban Village"/>
    <s v="5Y23"/>
  </r>
  <r>
    <s v="Northgate"/>
    <s v="UCUV"/>
    <x v="17"/>
    <n v="8534"/>
    <n v="2685"/>
    <n v="5849"/>
    <n v="324"/>
    <n v="9532"/>
    <n v="994"/>
    <n v="622"/>
    <n v="493"/>
    <n v="205"/>
    <n v="154"/>
    <n v="181"/>
    <n v="6883"/>
    <n v="2059"/>
    <n v="421"/>
    <n v="12"/>
    <n v="140"/>
    <n v="152"/>
    <n v="117"/>
    <n v="6659"/>
    <n v="1125"/>
    <n v="5109"/>
    <n v="375"/>
    <n v="2649"/>
    <n v="5358"/>
    <n v="409"/>
    <n v="1301"/>
    <n v="716"/>
    <n v="249"/>
    <n v="34"/>
    <n v="0.16894428592881813"/>
    <x v="81"/>
    <n v="0.80462531911698454"/>
    <x v="76"/>
    <n v="0.7672323171647395"/>
    <n v="0.19537468088301546"/>
    <n v="5.8280718795531809E-3"/>
    <n v="6.7994171928120448E-2"/>
    <n v="7.3822243807673632E-2"/>
    <n v="5.6823700825643517E-2"/>
    <n v="5.5394084458881859E-2"/>
    <n v="0.64741035856573703"/>
    <n v="0.68537614248886802"/>
    <n v="0.31462385751113192"/>
    <s v="Northgate | Urban Center"/>
    <s v="5Y23"/>
  </r>
  <r>
    <s v="Fremont"/>
    <s v="UCUV"/>
    <x v="16"/>
    <n v="6852"/>
    <n v="840"/>
    <n v="6012"/>
    <n v="207"/>
    <n v="7297"/>
    <n v="359"/>
    <n v="250"/>
    <n v="79"/>
    <n v="106"/>
    <n v="110"/>
    <n v="61"/>
    <n v="6332"/>
    <n v="1164"/>
    <n v="62"/>
    <n v="5"/>
    <n v="0"/>
    <n v="57"/>
    <n v="0"/>
    <n v="6354"/>
    <n v="362"/>
    <n v="5715"/>
    <n v="148"/>
    <n v="965"/>
    <n v="5908"/>
    <n v="194"/>
    <n v="446"/>
    <n v="168"/>
    <n v="193"/>
    <n v="46"/>
    <n v="5.6971986150456407E-2"/>
    <x v="82"/>
    <n v="0.92980799496380229"/>
    <x v="77"/>
    <n v="0.89943342776203961"/>
    <n v="7.0192005036197672E-2"/>
    <n v="4.2955326460481103E-3"/>
    <n v="0"/>
    <n v="4.8969072164948453E-2"/>
    <n v="0"/>
    <n v="3.4431137724550899E-2"/>
    <n v="0.84719789842381787"/>
    <n v="0.87740805604203154"/>
    <n v="0.12259194395796848"/>
    <s v="Fremont | Hub Urban Village"/>
    <s v="5Y23"/>
  </r>
  <r>
    <s v="Ballard"/>
    <s v="UCUV"/>
    <x v="16"/>
    <n v="18925"/>
    <n v="2724"/>
    <n v="16155"/>
    <n v="679"/>
    <n v="21365"/>
    <n v="629"/>
    <n v="734"/>
    <n v="230"/>
    <n v="191"/>
    <n v="166"/>
    <n v="127"/>
    <n v="19288"/>
    <n v="3657"/>
    <n v="127"/>
    <n v="0"/>
    <n v="0"/>
    <n v="127"/>
    <n v="0"/>
    <n v="17045"/>
    <n v="1045"/>
    <n v="15075"/>
    <n v="489"/>
    <n v="2077"/>
    <n v="15745"/>
    <n v="750"/>
    <n v="1254"/>
    <n v="295"/>
    <n v="670"/>
    <n v="261"/>
    <n v="6.1308301554708122E-2"/>
    <x v="83"/>
    <n v="0.92373129950132005"/>
    <x v="78"/>
    <n v="0.88442358462892345"/>
    <n v="7.3569961865649749E-2"/>
    <n v="0"/>
    <n v="0"/>
    <n v="3.4727919059338253E-2"/>
    <n v="0"/>
    <n v="4.2030331166821415E-2"/>
    <n v="0.81775429326287974"/>
    <n v="0.85363276089828266"/>
    <n v="0.14393659180977542"/>
    <s v="Ballard | Hub Urban Village"/>
    <s v="5Y23"/>
  </r>
  <r>
    <s v="Mt Baker"/>
    <s v="UCUV"/>
    <x v="16"/>
    <n v="6555"/>
    <n v="1964"/>
    <n v="4591"/>
    <n v="126"/>
    <n v="7836"/>
    <n v="371"/>
    <n v="489"/>
    <n v="221"/>
    <n v="100"/>
    <n v="182"/>
    <n v="98"/>
    <n v="6375"/>
    <n v="1740"/>
    <n v="194"/>
    <n v="0"/>
    <n v="30"/>
    <n v="53"/>
    <n v="111"/>
    <n v="4921"/>
    <n v="488"/>
    <n v="4184"/>
    <n v="286"/>
    <n v="1461"/>
    <n v="4310"/>
    <n v="286"/>
    <n v="611"/>
    <n v="202"/>
    <n v="126"/>
    <n v="0"/>
    <n v="9.9166836008941273E-2"/>
    <x v="84"/>
    <n v="0.87583824425929691"/>
    <x v="79"/>
    <n v="0.85023369233895552"/>
    <n v="0.12416175574070311"/>
    <n v="0"/>
    <n v="1.7241379310344827E-2"/>
    <n v="3.0459770114942528E-2"/>
    <n v="6.3793103448275865E-2"/>
    <n v="2.7445001089087345E-2"/>
    <n v="0.6811594202898551"/>
    <n v="0.70038138825324181"/>
    <n v="0.29961861174675819"/>
    <s v="Mt Baker | Hub Urban Village"/>
    <s v="5Y23"/>
  </r>
  <r>
    <s v="South Lake Union"/>
    <s v="UCUV"/>
    <x v="17"/>
    <n v="11700"/>
    <n v="1900"/>
    <n v="9778"/>
    <n v="508"/>
    <n v="11785"/>
    <n v="888"/>
    <n v="170"/>
    <n v="180"/>
    <n v="261"/>
    <n v="322"/>
    <n v="18"/>
    <n v="9946"/>
    <n v="1277"/>
    <n v="58"/>
    <n v="0"/>
    <n v="0"/>
    <n v="58"/>
    <n v="0"/>
    <n v="10716"/>
    <n v="940"/>
    <n v="9255"/>
    <n v="216"/>
    <n v="1839"/>
    <n v="9705"/>
    <n v="470"/>
    <n v="989"/>
    <n v="470"/>
    <n v="450"/>
    <n v="254"/>
    <n v="8.771929824561403E-2"/>
    <x v="85"/>
    <n v="0.90565509518477039"/>
    <x v="80"/>
    <n v="0.86366181410974241"/>
    <n v="9.2291899962672633E-2"/>
    <n v="0"/>
    <n v="0"/>
    <n v="4.541895066562255E-2"/>
    <n v="0"/>
    <n v="5.1953364696256901E-2"/>
    <n v="0.79230769230769227"/>
    <n v="0.83572649572649571"/>
    <n v="0.1623931623931624"/>
    <s v="South Lake Union | Urban Center"/>
    <s v="5Y23"/>
  </r>
  <r>
    <s v="University District"/>
    <s v="UCUV"/>
    <x v="17"/>
    <n v="28848"/>
    <n v="12959"/>
    <n v="15889"/>
    <n v="1117"/>
    <n v="19452"/>
    <n v="5457"/>
    <n v="2222"/>
    <n v="877"/>
    <n v="1053"/>
    <n v="1191"/>
    <n v="371"/>
    <n v="8281"/>
    <n v="1687"/>
    <n v="314"/>
    <n v="10"/>
    <n v="41"/>
    <n v="158"/>
    <n v="105"/>
    <n v="17042"/>
    <n v="6728"/>
    <n v="10958"/>
    <n v="2493"/>
    <n v="11171"/>
    <n v="11386"/>
    <n v="2848"/>
    <n v="5656"/>
    <n v="3880"/>
    <n v="428"/>
    <n v="355"/>
    <n v="0.39478934397371201"/>
    <x v="86"/>
    <n v="0.66811407111841337"/>
    <x v="81"/>
    <n v="0.64299964792864683"/>
    <n v="0.33188592888158669"/>
    <n v="5.9276822762299938E-3"/>
    <n v="2.4303497332542976E-2"/>
    <n v="9.3657379964433907E-2"/>
    <n v="6.2240663900414939E-2"/>
    <n v="7.0300207690855307E-2"/>
    <n v="0.51206322795341097"/>
    <n v="0.55078341652800888"/>
    <n v="0.44921658347199112"/>
    <s v="University District | Urban Center"/>
    <s v="5Y23"/>
  </r>
  <r>
    <s v="Uptown"/>
    <s v="UCUV"/>
    <x v="17"/>
    <n v="12593"/>
    <n v="2091"/>
    <n v="10502"/>
    <n v="561"/>
    <n v="12624"/>
    <n v="732"/>
    <n v="489"/>
    <n v="235"/>
    <n v="82"/>
    <n v="196"/>
    <n v="55"/>
    <n v="10835"/>
    <n v="1881"/>
    <n v="122"/>
    <n v="0"/>
    <n v="0"/>
    <n v="0"/>
    <n v="122"/>
    <n v="11045"/>
    <n v="935"/>
    <n v="9724"/>
    <n v="300"/>
    <n v="1789"/>
    <n v="10231"/>
    <n v="355"/>
    <n v="814"/>
    <n v="580"/>
    <n v="507"/>
    <n v="55"/>
    <n v="8.4653689452240832E-2"/>
    <x v="87"/>
    <n v="0.92630149388863736"/>
    <x v="82"/>
    <n v="0.8803983703033047"/>
    <n v="7.3698506111362611E-2"/>
    <n v="0"/>
    <n v="0"/>
    <n v="0"/>
    <n v="6.4859117490696436E-2"/>
    <n v="5.3418396495905539E-2"/>
    <n v="0.78940681330898121"/>
    <n v="0.83395537203208137"/>
    <n v="0.16604462796791869"/>
    <s v="Uptown | Urban Center"/>
    <s v="5Y23"/>
  </r>
  <r>
    <s v="Downtown"/>
    <s v="UCUV"/>
    <x v="17"/>
    <n v="41847"/>
    <n v="10750"/>
    <n v="30753"/>
    <n v="1341"/>
    <n v="41163"/>
    <n v="2965"/>
    <n v="3311"/>
    <n v="1594"/>
    <n v="1485"/>
    <n v="942"/>
    <n v="487"/>
    <n v="30379"/>
    <n v="6535"/>
    <n v="463"/>
    <n v="0"/>
    <n v="363"/>
    <n v="81"/>
    <n v="19"/>
    <n v="34752"/>
    <n v="4352"/>
    <n v="28196"/>
    <n v="1663"/>
    <n v="10784"/>
    <n v="29417"/>
    <n v="2112"/>
    <n v="5172"/>
    <n v="2240"/>
    <n v="1221"/>
    <n v="449"/>
    <n v="0.12523020257826889"/>
    <x v="88"/>
    <n v="0.84648365561694294"/>
    <x v="83"/>
    <n v="0.81134898710865566"/>
    <n v="0.14882596685082872"/>
    <n v="0"/>
    <n v="5.5547054322876814E-2"/>
    <n v="1.2394797245600612E-2"/>
    <n v="2.9074215761285389E-3"/>
    <n v="4.3605501902253437E-2"/>
    <n v="0.70284608215642697"/>
    <n v="0.73489139006380388"/>
    <n v="0.25688818792267071"/>
    <s v="Downtown | Urban Center"/>
    <s v="5Y23"/>
  </r>
  <r>
    <s v="First Hill/Capitol Hill"/>
    <s v="UCUV"/>
    <x v="17"/>
    <n v="47962"/>
    <n v="9165"/>
    <n v="38763"/>
    <n v="2308"/>
    <n v="47434"/>
    <n v="3741"/>
    <n v="2201"/>
    <n v="1237"/>
    <n v="916"/>
    <n v="1630"/>
    <n v="898"/>
    <n v="36811"/>
    <n v="5544"/>
    <n v="362"/>
    <n v="31"/>
    <n v="190"/>
    <n v="86"/>
    <n v="55"/>
    <n v="41482"/>
    <n v="4438"/>
    <n v="35177"/>
    <n v="1793"/>
    <n v="10623"/>
    <n v="37220"/>
    <n v="2596"/>
    <n v="4228"/>
    <n v="1842"/>
    <n v="2043"/>
    <n v="803"/>
    <n v="0.10698616267296658"/>
    <x v="89"/>
    <n v="0.89725664143483919"/>
    <x v="84"/>
    <n v="0.84800636420616171"/>
    <n v="0.10192372595342558"/>
    <n v="5.591630591630592E-3"/>
    <n v="3.4271284271284272E-2"/>
    <n v="1.5512265512265512E-2"/>
    <n v="9.9206349206349201E-3"/>
    <n v="5.9541315171684338E-2"/>
    <n v="0.76008089737709017"/>
    <n v="0.80820232684208326"/>
    <n v="0.19108877861640466"/>
    <s v="First Hill/Capitol Hill | Urban Center"/>
    <s v="5Y23"/>
  </r>
  <r>
    <s v="Greater Duwamish"/>
    <s v="UCUV"/>
    <x v="18"/>
    <n v="469"/>
    <n v="102"/>
    <n v="367"/>
    <n v="0"/>
    <n v="497"/>
    <n v="6"/>
    <n v="15"/>
    <n v="53"/>
    <n v="0"/>
    <n v="30"/>
    <n v="0"/>
    <n v="393"/>
    <n v="76"/>
    <n v="0"/>
    <n v="0"/>
    <n v="0"/>
    <n v="0"/>
    <n v="0"/>
    <n v="389"/>
    <n v="13"/>
    <n v="361"/>
    <n v="7"/>
    <n v="104"/>
    <n v="361"/>
    <n v="7"/>
    <n v="28"/>
    <n v="6"/>
    <n v="0"/>
    <n v="0"/>
    <n v="3.3419023136246784E-2"/>
    <x v="90"/>
    <n v="0.92802056555269918"/>
    <x v="31"/>
    <n v="0.92802056555269918"/>
    <n v="7.1979434447300775E-2"/>
    <n v="0"/>
    <n v="0"/>
    <n v="0"/>
    <n v="0"/>
    <n v="0"/>
    <n v="0.78251599147121531"/>
    <n v="0.78251599147121531"/>
    <n v="0.21748400852878466"/>
    <s v="Greater Duwamish | Manufacturing Industrial"/>
    <s v="5Y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47BE6-8664-48AC-9FF0-F4574E7F7FED}" name="PivotTable6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G59" firstHeaderRow="0" firstDataRow="1" firstDataCol="1" rowPageCount="1" colPageCount="1"/>
  <pivotFields count="48">
    <pivotField axis="axisRow" showAll="0">
      <items count="85">
        <item x="66"/>
        <item x="68"/>
        <item x="30"/>
        <item x="27"/>
        <item x="61"/>
        <item x="10"/>
        <item x="40"/>
        <item x="17"/>
        <item x="69"/>
        <item x="2"/>
        <item x="50"/>
        <item x="13"/>
        <item x="1"/>
        <item x="48"/>
        <item x="43"/>
        <item x="20"/>
        <item x="21"/>
        <item x="22"/>
        <item x="23"/>
        <item x="24"/>
        <item x="25"/>
        <item x="26"/>
        <item x="63"/>
        <item x="81"/>
        <item x="18"/>
        <item x="38"/>
        <item x="65"/>
        <item x="28"/>
        <item x="49"/>
        <item x="82"/>
        <item x="11"/>
        <item x="37"/>
        <item x="83"/>
        <item x="5"/>
        <item x="4"/>
        <item x="62"/>
        <item x="6"/>
        <item x="32"/>
        <item x="35"/>
        <item x="15"/>
        <item x="47"/>
        <item x="73"/>
        <item x="58"/>
        <item x="3"/>
        <item x="53"/>
        <item x="72"/>
        <item x="46"/>
        <item x="14"/>
        <item x="52"/>
        <item x="54"/>
        <item x="76"/>
        <item x="78"/>
        <item x="45"/>
        <item x="7"/>
        <item x="67"/>
        <item x="41"/>
        <item x="51"/>
        <item x="31"/>
        <item x="77"/>
        <item x="59"/>
        <item x="0"/>
        <item x="70"/>
        <item x="60"/>
        <item x="19"/>
        <item x="16"/>
        <item x="42"/>
        <item x="56"/>
        <item x="33"/>
        <item x="74"/>
        <item x="34"/>
        <item x="44"/>
        <item x="39"/>
        <item x="79"/>
        <item x="36"/>
        <item x="9"/>
        <item x="55"/>
        <item x="64"/>
        <item x="80"/>
        <item x="12"/>
        <item x="57"/>
        <item x="75"/>
        <item x="29"/>
        <item x="71"/>
        <item x="8"/>
        <item t="default"/>
      </items>
    </pivotField>
    <pivotField axis="axisPage" showAll="0">
      <items count="4">
        <item x="1"/>
        <item x="0"/>
        <item x="2"/>
        <item t="default"/>
      </items>
    </pivotField>
    <pivotField showAll="0"/>
    <pivotField dataField="1" numFmtId="2" showAll="0"/>
    <pivotField dataField="1" numFmtId="2" showAll="0"/>
    <pivotField dataField="1"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items count="23">
        <item x="0"/>
        <item x="1"/>
        <item x="2"/>
        <item x="3"/>
        <item x="4"/>
        <item x="5"/>
        <item x="6"/>
        <item x="7"/>
        <item x="8"/>
        <item x="9"/>
        <item x="10"/>
        <item x="11"/>
        <item x="12"/>
        <item x="13"/>
        <item x="14"/>
        <item x="15"/>
        <item x="16"/>
        <item x="17"/>
        <item x="18"/>
        <item x="19"/>
        <item x="20"/>
        <item x="21"/>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0"/>
  </rowFields>
  <rowItems count="54">
    <i>
      <x v="2"/>
    </i>
    <i>
      <x v="3"/>
    </i>
    <i>
      <x v="5"/>
    </i>
    <i>
      <x v="6"/>
    </i>
    <i>
      <x v="7"/>
    </i>
    <i>
      <x v="9"/>
    </i>
    <i>
      <x v="10"/>
    </i>
    <i>
      <x v="11"/>
    </i>
    <i>
      <x v="12"/>
    </i>
    <i>
      <x v="13"/>
    </i>
    <i>
      <x v="14"/>
    </i>
    <i>
      <x v="24"/>
    </i>
    <i>
      <x v="25"/>
    </i>
    <i>
      <x v="27"/>
    </i>
    <i>
      <x v="28"/>
    </i>
    <i>
      <x v="30"/>
    </i>
    <i>
      <x v="31"/>
    </i>
    <i>
      <x v="33"/>
    </i>
    <i>
      <x v="34"/>
    </i>
    <i>
      <x v="36"/>
    </i>
    <i>
      <x v="37"/>
    </i>
    <i>
      <x v="38"/>
    </i>
    <i>
      <x v="39"/>
    </i>
    <i>
      <x v="40"/>
    </i>
    <i>
      <x v="42"/>
    </i>
    <i>
      <x v="43"/>
    </i>
    <i>
      <x v="44"/>
    </i>
    <i>
      <x v="46"/>
    </i>
    <i>
      <x v="47"/>
    </i>
    <i>
      <x v="48"/>
    </i>
    <i>
      <x v="49"/>
    </i>
    <i>
      <x v="52"/>
    </i>
    <i>
      <x v="53"/>
    </i>
    <i>
      <x v="55"/>
    </i>
    <i>
      <x v="56"/>
    </i>
    <i>
      <x v="57"/>
    </i>
    <i>
      <x v="59"/>
    </i>
    <i>
      <x v="60"/>
    </i>
    <i>
      <x v="63"/>
    </i>
    <i>
      <x v="64"/>
    </i>
    <i>
      <x v="65"/>
    </i>
    <i>
      <x v="66"/>
    </i>
    <i>
      <x v="67"/>
    </i>
    <i>
      <x v="69"/>
    </i>
    <i>
      <x v="70"/>
    </i>
    <i>
      <x v="71"/>
    </i>
    <i>
      <x v="73"/>
    </i>
    <i>
      <x v="74"/>
    </i>
    <i>
      <x v="75"/>
    </i>
    <i>
      <x v="78"/>
    </i>
    <i>
      <x v="79"/>
    </i>
    <i>
      <x v="81"/>
    </i>
    <i>
      <x v="83"/>
    </i>
    <i t="grand">
      <x/>
    </i>
  </rowItems>
  <colFields count="1">
    <field x="-2"/>
  </colFields>
  <colItems count="5">
    <i>
      <x/>
    </i>
    <i i="1">
      <x v="1"/>
    </i>
    <i i="2">
      <x v="2"/>
    </i>
    <i i="3">
      <x v="3"/>
    </i>
    <i i="4">
      <x v="4"/>
    </i>
  </colItems>
  <pageFields count="1">
    <pageField fld="1" item="1" hier="-1"/>
  </pageFields>
  <dataFields count="5">
    <dataField name="Total_Pop_16&amp;over" fld="3" baseField="0" baseItem="15" numFmtId="2"/>
    <dataField name="Total_Pop_16&amp;over not in labor force" fld="4" baseField="0" baseItem="15" numFmtId="2"/>
    <dataField name="Total_Pop_16&amp;over in civilian labor force" fld="5" baseField="0" baseItem="15" numFmtId="2"/>
    <dataField name="Total_Pop_16&amp;over in civilian labor force unemployed" fld="6" baseField="0" baseItem="0" numFmtId="2"/>
    <dataField name="Total_Pop whose poverty status is determined" fld="7" baseField="0" baseItem="15" numFmtId="2"/>
  </dataFields>
  <formats count="8">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7">
            <x v="15"/>
            <x v="16"/>
            <x v="17"/>
            <x v="18"/>
            <x v="19"/>
            <x v="20"/>
            <x v="21"/>
          </reference>
        </references>
      </pivotArea>
    </format>
    <format dxfId="34">
      <pivotArea dataOnly="0" labelOnly="1" grandRow="1" outline="0" fieldPosition="0"/>
    </format>
    <format dxfId="33">
      <pivotArea dataOnly="0" labelOnly="1" outline="0" fieldPosition="0">
        <references count="1">
          <reference field="4294967294" count="5">
            <x v="0"/>
            <x v="1"/>
            <x v="2"/>
            <x v="3"/>
            <x v="4"/>
          </reference>
        </references>
      </pivotArea>
    </format>
    <format dxfId="32">
      <pivotArea type="all" dataOnly="0" outline="0"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6A87B-C6CB-489F-B8BB-0D439785E6F1}" name="PivotTable6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G16" firstHeaderRow="0" firstDataRow="1" firstDataCol="1" rowPageCount="1" colPageCount="1"/>
  <pivotFields count="48">
    <pivotField showAll="0">
      <items count="85">
        <item x="66"/>
        <item x="68"/>
        <item x="30"/>
        <item x="27"/>
        <item x="61"/>
        <item x="10"/>
        <item x="40"/>
        <item x="17"/>
        <item x="69"/>
        <item x="2"/>
        <item x="50"/>
        <item x="13"/>
        <item x="1"/>
        <item x="48"/>
        <item x="43"/>
        <item x="20"/>
        <item x="21"/>
        <item x="22"/>
        <item x="23"/>
        <item x="24"/>
        <item x="25"/>
        <item x="26"/>
        <item x="63"/>
        <item x="81"/>
        <item x="18"/>
        <item x="38"/>
        <item x="65"/>
        <item x="28"/>
        <item x="49"/>
        <item x="82"/>
        <item x="11"/>
        <item x="37"/>
        <item x="83"/>
        <item x="5"/>
        <item x="4"/>
        <item x="62"/>
        <item x="6"/>
        <item x="32"/>
        <item x="35"/>
        <item x="15"/>
        <item x="47"/>
        <item x="73"/>
        <item x="58"/>
        <item x="3"/>
        <item x="53"/>
        <item x="72"/>
        <item x="46"/>
        <item x="14"/>
        <item x="52"/>
        <item x="54"/>
        <item x="76"/>
        <item x="78"/>
        <item x="45"/>
        <item x="7"/>
        <item x="67"/>
        <item x="41"/>
        <item x="51"/>
        <item x="31"/>
        <item x="77"/>
        <item x="59"/>
        <item x="0"/>
        <item x="70"/>
        <item x="60"/>
        <item x="19"/>
        <item x="16"/>
        <item x="42"/>
        <item x="56"/>
        <item x="33"/>
        <item x="74"/>
        <item x="34"/>
        <item x="44"/>
        <item x="39"/>
        <item x="79"/>
        <item x="36"/>
        <item x="9"/>
        <item x="55"/>
        <item x="64"/>
        <item x="80"/>
        <item x="12"/>
        <item x="57"/>
        <item x="75"/>
        <item x="29"/>
        <item x="71"/>
        <item x="8"/>
        <item t="default"/>
      </items>
    </pivotField>
    <pivotField axis="axisPage" multipleItemSelectionAllowed="1" showAll="0">
      <items count="4">
        <item h="1" x="1"/>
        <item x="0"/>
        <item h="1" x="2"/>
        <item t="default"/>
      </items>
    </pivotField>
    <pivotField axis="axisRow" showAll="0" measureFilter="1">
      <items count="20">
        <item sd="0" x="2"/>
        <item sd="0" x="11"/>
        <item sd="0" x="8"/>
        <item sd="0" x="5"/>
        <item sd="0" x="12"/>
        <item sd="0" x="9"/>
        <item sd="0" x="16"/>
        <item sd="0" x="3"/>
        <item x="4"/>
        <item x="18"/>
        <item sd="0" x="0"/>
        <item sd="0" x="13"/>
        <item sd="0" x="1"/>
        <item x="14"/>
        <item sd="0" x="15"/>
        <item x="10"/>
        <item x="7"/>
        <item sd="0" x="6"/>
        <item sd="0" x="1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numFmtId="2" showAll="0">
      <items count="23">
        <item x="0"/>
        <item x="1"/>
        <item x="2"/>
        <item x="3"/>
        <item x="4"/>
        <item x="5"/>
        <item x="6"/>
        <item x="7"/>
        <item x="8"/>
        <item x="9"/>
        <item x="10"/>
        <item x="11"/>
        <item x="12"/>
        <item x="13"/>
        <item x="14"/>
        <item x="15"/>
        <item x="16"/>
        <item x="17"/>
        <item x="18"/>
        <item x="19"/>
        <item x="20"/>
        <item x="21"/>
        <item t="default"/>
      </items>
    </pivotField>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2"/>
  </rowFields>
  <rowItems count="11">
    <i>
      <x v="1"/>
    </i>
    <i>
      <x v="2"/>
    </i>
    <i>
      <x v="3"/>
    </i>
    <i>
      <x v="4"/>
    </i>
    <i>
      <x v="5"/>
    </i>
    <i>
      <x v="7"/>
    </i>
    <i>
      <x v="10"/>
    </i>
    <i>
      <x v="11"/>
    </i>
    <i>
      <x v="12"/>
    </i>
    <i>
      <x v="15"/>
    </i>
    <i t="grand">
      <x/>
    </i>
  </rowItems>
  <colFields count="1">
    <field x="-2"/>
  </colFields>
  <colItems count="5">
    <i>
      <x/>
    </i>
    <i i="1">
      <x v="1"/>
    </i>
    <i i="2">
      <x v="2"/>
    </i>
    <i i="3">
      <x v="3"/>
    </i>
    <i i="4">
      <x v="4"/>
    </i>
  </colItems>
  <pageFields count="1">
    <pageField fld="1" hier="-1"/>
  </pageFields>
  <dataFields count="5">
    <dataField name="Average of Poverty_rate_20_64" fld="32" subtotal="average" baseField="2" baseItem="18" numFmtId="2"/>
    <dataField name="Average of Unemployment_rate_20_64" fld="33" subtotal="average" baseField="2" baseItem="1" numFmtId="2"/>
    <dataField name="Average of Laborforce_participation_20_64" fld="34" subtotal="average" baseField="2" baseItem="1" numFmtId="2"/>
    <dataField name="Average of Employment_rate_20_64" fld="36" subtotal="average" baseField="2" baseItem="1" numFmtId="2"/>
    <dataField name="Average of Nilf_share_20_64" fld="37" subtotal="average" baseField="2" baseItem="1" numFmtId="2"/>
  </dataFields>
  <formats count="9">
    <format dxfId="30">
      <pivotArea type="all" dataOnly="0" outline="0" fieldPosition="0"/>
    </format>
    <format dxfId="29">
      <pivotArea outline="0" collapsedLevelsAreSubtotals="1" fieldPosition="0"/>
    </format>
    <format dxfId="28">
      <pivotArea field="0" type="button" dataOnly="0" labelOnly="1" outline="0"/>
    </format>
    <format dxfId="27">
      <pivotArea dataOnly="0" labelOnly="1" grandRow="1" outline="0" fieldPosition="0"/>
    </format>
    <format dxfId="26">
      <pivotArea type="all" dataOnly="0" outline="0" fieldPosition="0"/>
    </format>
    <format dxfId="25">
      <pivotArea outline="0" collapsedLevelsAreSubtotals="1" fieldPosition="0"/>
    </format>
    <format dxfId="24">
      <pivotArea field="0" type="button" dataOnly="0" labelOnly="1" outline="0"/>
    </format>
    <format dxfId="23">
      <pivotArea dataOnly="0" labelOnly="1" grandRow="1" outline="0" fieldPosition="0"/>
    </format>
    <format dxfId="22">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538795-542A-4336-B9BC-608B46406C7C}" name="PivotTable6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J17" firstHeaderRow="0" firstDataRow="1" firstDataCol="1" rowPageCount="1" colPageCount="1"/>
  <pivotFields count="48">
    <pivotField showAll="0">
      <items count="85">
        <item x="66"/>
        <item x="68"/>
        <item x="30"/>
        <item x="27"/>
        <item x="61"/>
        <item x="10"/>
        <item x="40"/>
        <item x="17"/>
        <item x="69"/>
        <item x="2"/>
        <item x="50"/>
        <item x="13"/>
        <item x="1"/>
        <item x="48"/>
        <item x="43"/>
        <item x="20"/>
        <item x="21"/>
        <item x="22"/>
        <item x="23"/>
        <item x="24"/>
        <item x="25"/>
        <item x="26"/>
        <item x="63"/>
        <item x="81"/>
        <item x="18"/>
        <item x="38"/>
        <item x="65"/>
        <item x="28"/>
        <item x="49"/>
        <item x="82"/>
        <item x="11"/>
        <item x="37"/>
        <item x="83"/>
        <item x="5"/>
        <item x="4"/>
        <item x="62"/>
        <item x="6"/>
        <item x="32"/>
        <item x="35"/>
        <item x="15"/>
        <item x="47"/>
        <item x="73"/>
        <item x="58"/>
        <item x="3"/>
        <item x="53"/>
        <item x="72"/>
        <item x="46"/>
        <item x="14"/>
        <item x="52"/>
        <item x="54"/>
        <item x="76"/>
        <item x="78"/>
        <item x="45"/>
        <item x="7"/>
        <item x="67"/>
        <item x="41"/>
        <item x="51"/>
        <item x="31"/>
        <item x="77"/>
        <item x="59"/>
        <item x="0"/>
        <item x="70"/>
        <item x="60"/>
        <item x="19"/>
        <item x="16"/>
        <item x="42"/>
        <item x="56"/>
        <item x="33"/>
        <item x="74"/>
        <item x="34"/>
        <item x="44"/>
        <item x="39"/>
        <item x="79"/>
        <item x="36"/>
        <item x="9"/>
        <item x="55"/>
        <item x="64"/>
        <item x="80"/>
        <item x="12"/>
        <item x="57"/>
        <item x="75"/>
        <item x="29"/>
        <item x="71"/>
        <item x="8"/>
        <item t="default"/>
      </items>
    </pivotField>
    <pivotField axis="axisPage" multipleItemSelectionAllowed="1" showAll="0">
      <items count="4">
        <item x="1"/>
        <item x="0"/>
        <item x="2"/>
        <item t="default"/>
      </items>
    </pivotField>
    <pivotField axis="axisRow" showAll="0" measureFilter="1">
      <items count="20">
        <item sd="0" x="2"/>
        <item sd="0" x="11"/>
        <item sd="0" x="8"/>
        <item sd="0" x="5"/>
        <item sd="0" x="12"/>
        <item sd="0" x="9"/>
        <item sd="0" x="16"/>
        <item sd="0" x="3"/>
        <item x="4"/>
        <item x="18"/>
        <item sd="0" x="0"/>
        <item sd="0" x="13"/>
        <item sd="0" x="1"/>
        <item x="14"/>
        <item sd="0" x="15"/>
        <item x="10"/>
        <item x="7"/>
        <item sd="0" x="6"/>
        <item sd="0" x="17"/>
        <item t="default"/>
      </items>
    </pivotField>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items count="23">
        <item x="0"/>
        <item x="1"/>
        <item x="2"/>
        <item x="3"/>
        <item x="4"/>
        <item x="5"/>
        <item x="6"/>
        <item x="7"/>
        <item x="8"/>
        <item x="9"/>
        <item x="10"/>
        <item x="11"/>
        <item x="12"/>
        <item x="13"/>
        <item x="14"/>
        <item x="15"/>
        <item x="16"/>
        <item x="17"/>
        <item x="18"/>
        <item x="19"/>
        <item x="20"/>
        <item x="21"/>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2"/>
  </rowFields>
  <rowItems count="11">
    <i>
      <x v="5"/>
    </i>
    <i>
      <x v="6"/>
    </i>
    <i>
      <x v="10"/>
    </i>
    <i>
      <x v="11"/>
    </i>
    <i>
      <x v="12"/>
    </i>
    <i>
      <x v="13"/>
    </i>
    <i>
      <x v="14"/>
    </i>
    <i>
      <x v="15"/>
    </i>
    <i>
      <x v="17"/>
    </i>
    <i>
      <x v="18"/>
    </i>
    <i t="grand">
      <x/>
    </i>
  </rowItems>
  <colFields count="1">
    <field x="-2"/>
  </colFields>
  <colItems count="8">
    <i>
      <x/>
    </i>
    <i i="1">
      <x v="1"/>
    </i>
    <i i="2">
      <x v="2"/>
    </i>
    <i i="3">
      <x v="3"/>
    </i>
    <i i="4">
      <x v="4"/>
    </i>
    <i i="5">
      <x v="5"/>
    </i>
    <i i="6">
      <x v="6"/>
    </i>
    <i i="7">
      <x v="7"/>
    </i>
  </colItems>
  <pageFields count="1">
    <pageField fld="1" hier="-1"/>
  </pageFields>
  <dataFields count="8">
    <dataField name="Tot_ Pop_ Incm to Poverty Ratio Under .50" fld="8" baseField="2" baseItem="0" numFmtId="2"/>
    <dataField name="Tot_ Pop_ Incm to Poverty Ratio .50 to .99" fld="9" baseField="0" baseItem="0" numFmtId="2"/>
    <dataField name="Tot_ Pop_ Incm to Poverty Ratio 1.00 to 1.24" fld="10" baseField="0" baseItem="0" numFmtId="2"/>
    <dataField name="Tot_ Pop_ Incm to Poverty Ratio1.25 to 1.49" fld="11" baseField="0" baseItem="0" numFmtId="2"/>
    <dataField name="Tot_ Pop_ Incm to Poverty Ratio 1.50 to 1.84" fld="12" baseField="0" baseItem="0" numFmtId="2"/>
    <dataField name="Tot_ Pop_ Incm to Poverty Ratio 1.85 to 1.99" fld="13" baseField="0" baseItem="0" numFmtId="2"/>
    <dataField name="Tot_ Pop_ Incm to Poverty Ratio 2.00 and over" fld="14" baseField="0" baseItem="0" numFmtId="2"/>
    <dataField name="Tot_Fams_inc_in the past 12 months below poverty level" fld="16" baseField="0" baseItem="0" numFmtId="2"/>
  </dataFields>
  <formats count="9">
    <format dxfId="21">
      <pivotArea type="all" dataOnly="0" outline="0" fieldPosition="0"/>
    </format>
    <format dxfId="20">
      <pivotArea outline="0" collapsedLevelsAreSubtotals="1" fieldPosition="0"/>
    </format>
    <format dxfId="19">
      <pivotArea field="0" type="button" dataOnly="0" labelOnly="1" outline="0"/>
    </format>
    <format dxfId="18">
      <pivotArea dataOnly="0" labelOnly="1" grandRow="1" outline="0" fieldPosition="0"/>
    </format>
    <format dxfId="17">
      <pivotArea type="all" dataOnly="0" outline="0" fieldPosition="0"/>
    </format>
    <format dxfId="16">
      <pivotArea outline="0" collapsedLevelsAreSubtotals="1" fieldPosition="0"/>
    </format>
    <format dxfId="15">
      <pivotArea field="0" type="button" dataOnly="0" labelOnly="1" outline="0"/>
    </format>
    <format dxfId="14">
      <pivotArea dataOnly="0" labelOnly="1" grandRow="1" outline="0" fieldPosition="0"/>
    </format>
    <format dxfId="13">
      <pivotArea outline="0" collapsedLevelsAreSubtotals="1" fieldPosition="0"/>
    </format>
  </formats>
  <pivotTableStyleInfo name="PivotStyleLight16" showRowHeaders="1" showColHeaders="1" showRowStripes="0" showColStripes="0" showLastColumn="1"/>
  <filters count="1">
    <filter fld="2" type="count" evalOrder="-1" id="2" iMeasureFld="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CF9079-C8F7-4CE3-82DA-AB73C751805B}"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22" firstHeaderRow="0" firstDataRow="1" firstDataCol="1"/>
  <pivotFields count="48">
    <pivotField showAll="0"/>
    <pivotField showAll="0"/>
    <pivotField axis="axisRow" showAll="0">
      <items count="20">
        <item x="2"/>
        <item x="11"/>
        <item x="8"/>
        <item x="5"/>
        <item x="12"/>
        <item x="9"/>
        <item x="16"/>
        <item x="3"/>
        <item x="4"/>
        <item x="18"/>
        <item x="0"/>
        <item x="13"/>
        <item x="1"/>
        <item x="14"/>
        <item x="15"/>
        <item x="10"/>
        <item x="7"/>
        <item x="6"/>
        <item x="1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items count="23">
        <item x="0"/>
        <item x="1"/>
        <item x="2"/>
        <item x="3"/>
        <item x="4"/>
        <item x="5"/>
        <item x="6"/>
        <item x="7"/>
        <item x="8"/>
        <item x="9"/>
        <item x="10"/>
        <item x="11"/>
        <item x="12"/>
        <item x="13"/>
        <item x="14"/>
        <item x="15"/>
        <item x="16"/>
        <item x="17"/>
        <item x="18"/>
        <item x="19"/>
        <item x="20"/>
        <item x="21"/>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Population 20 to 64 years employed" fld="23" baseField="0" baseItem="0" numFmtId="2"/>
    <dataField name="Sum of Population 20 to 64 years unemployed" fld="30"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E7D406-1257-45C5-9249-51CD7581C64C}" name="PivotTable2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22" firstHeaderRow="1" firstDataRow="1" firstDataCol="1"/>
  <pivotFields count="48">
    <pivotField showAll="0"/>
    <pivotField showAll="0"/>
    <pivotField axis="axisRow" showAll="0">
      <items count="20">
        <item x="2"/>
        <item x="11"/>
        <item x="8"/>
        <item x="5"/>
        <item x="12"/>
        <item x="9"/>
        <item x="16"/>
        <item x="3"/>
        <item x="4"/>
        <item x="18"/>
        <item x="0"/>
        <item x="13"/>
        <item x="1"/>
        <item x="14"/>
        <item x="15"/>
        <item x="10"/>
        <item x="7"/>
        <item x="6"/>
        <item x="1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items count="23">
        <item x="0"/>
        <item x="1"/>
        <item x="2"/>
        <item x="3"/>
        <item x="4"/>
        <item x="5"/>
        <item x="6"/>
        <item x="7"/>
        <item x="8"/>
        <item x="9"/>
        <item x="10"/>
        <item x="11"/>
        <item x="12"/>
        <item x="13"/>
        <item x="14"/>
        <item x="15"/>
        <item x="16"/>
        <item x="17"/>
        <item x="18"/>
        <item x="19"/>
        <item x="20"/>
        <item x="21"/>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numFmtId="2"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Laborforce_participation_16+" fld="44"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B78E27-5779-44ED-B786-7A51CB11A79A}" name="PivotTable5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25" firstHeaderRow="0" firstDataRow="1" firstDataCol="1" rowPageCount="1" colPageCount="1"/>
  <pivotFields count="48">
    <pivotField showAll="0"/>
    <pivotField axis="axisPage" showAll="0">
      <items count="4">
        <item x="1"/>
        <item x="0"/>
        <item x="2"/>
        <item t="default"/>
      </items>
    </pivotField>
    <pivotField axis="axisRow" showAll="0">
      <items count="20">
        <item x="2"/>
        <item x="11"/>
        <item x="8"/>
        <item x="5"/>
        <item x="12"/>
        <item x="9"/>
        <item x="16"/>
        <item x="3"/>
        <item x="4"/>
        <item x="18"/>
        <item x="0"/>
        <item x="13"/>
        <item x="1"/>
        <item x="14"/>
        <item x="15"/>
        <item x="10"/>
        <item x="7"/>
        <item x="6"/>
        <item x="1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items count="23">
        <item x="0"/>
        <item x="1"/>
        <item x="2"/>
        <item x="3"/>
        <item x="4"/>
        <item x="5"/>
        <item x="6"/>
        <item x="7"/>
        <item x="8"/>
        <item x="9"/>
        <item x="10"/>
        <item x="11"/>
        <item x="12"/>
        <item x="13"/>
        <item x="14"/>
        <item x="15"/>
        <item x="16"/>
        <item x="17"/>
        <item x="18"/>
        <item x="19"/>
        <item x="20"/>
        <item x="21"/>
        <item t="default"/>
      </items>
    </pivotField>
    <pivotField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numFmtId="2"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pageFields count="1">
    <pageField fld="1" hier="-1"/>
  </pageFields>
  <dataFields count="2">
    <dataField name="Avg of Employment_rate_16+" fld="43" subtotal="average" baseField="2" baseItem="0" numFmtId="2"/>
    <dataField name="Avg of Laborforce_participation_16+" fld="44"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E291B2-E58B-4D0C-8E56-97DACAAECA14}" name="PivotTable4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rowPageCount="1" colPageCount="1"/>
  <pivotFields count="48">
    <pivotField showAll="0"/>
    <pivotField axis="axisPage" showAll="0">
      <items count="4">
        <item x="1"/>
        <item x="0"/>
        <item x="2"/>
        <item t="default"/>
      </items>
    </pivotField>
    <pivotField axis="axisRow" showAll="0">
      <items count="20">
        <item x="2"/>
        <item x="11"/>
        <item x="8"/>
        <item x="5"/>
        <item x="12"/>
        <item x="9"/>
        <item x="16"/>
        <item x="3"/>
        <item x="4"/>
        <item x="18"/>
        <item x="0"/>
        <item x="13"/>
        <item x="1"/>
        <item x="14"/>
        <item x="15"/>
        <item x="10"/>
        <item x="7"/>
        <item x="6"/>
        <item x="1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items count="23">
        <item x="0"/>
        <item x="1"/>
        <item x="2"/>
        <item x="3"/>
        <item x="4"/>
        <item x="5"/>
        <item x="6"/>
        <item x="7"/>
        <item x="8"/>
        <item x="9"/>
        <item x="10"/>
        <item x="11"/>
        <item x="12"/>
        <item x="13"/>
        <item x="14"/>
        <item x="15"/>
        <item x="16"/>
        <item x="17"/>
        <item x="18"/>
        <item x="19"/>
        <item x="20"/>
        <item x="21"/>
        <item t="default"/>
      </items>
    </pivotField>
    <pivotField numFmtId="2" showAll="0"/>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numFmtId="2" showAll="0"/>
    <pivotField showAll="0"/>
    <pivotField showAll="0"/>
  </pivotFields>
  <rowFields count="1">
    <field x="2"/>
  </rowFields>
  <rowItems count="14">
    <i>
      <x/>
    </i>
    <i>
      <x v="1"/>
    </i>
    <i>
      <x v="2"/>
    </i>
    <i>
      <x v="3"/>
    </i>
    <i>
      <x v="4"/>
    </i>
    <i>
      <x v="5"/>
    </i>
    <i>
      <x v="7"/>
    </i>
    <i>
      <x v="8"/>
    </i>
    <i>
      <x v="10"/>
    </i>
    <i>
      <x v="11"/>
    </i>
    <i>
      <x v="12"/>
    </i>
    <i>
      <x v="15"/>
    </i>
    <i>
      <x v="16"/>
    </i>
    <i t="grand">
      <x/>
    </i>
  </rowItems>
  <colFields count="1">
    <field x="-2"/>
  </colFields>
  <colItems count="4">
    <i>
      <x/>
    </i>
    <i i="1">
      <x v="1"/>
    </i>
    <i i="2">
      <x v="2"/>
    </i>
    <i i="3">
      <x v="3"/>
    </i>
  </colItems>
  <pageFields count="1">
    <pageField fld="1" item="1" hier="-1"/>
  </pageFields>
  <dataFields count="4">
    <dataField name="Avg of Unemployment_rate_16+" fld="42" subtotal="average" baseField="2" baseItem="0" numFmtId="2"/>
    <dataField name="Avg of Employment_rate_16+" fld="43" subtotal="average" baseField="2" baseItem="0" numFmtId="2"/>
    <dataField name="Avg of Laborforce_participation_16+" fld="44" subtotal="average" baseField="2" baseItem="0" numFmtId="2"/>
    <dataField name="Avg of Family_poverty_rate" fld="35"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2189B1-9ADE-454C-B467-DC34127DB77D}" name="PivotTable5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eighborhood Subtype">
  <location ref="B2:D22" firstHeaderRow="0" firstDataRow="1" firstDataCol="1"/>
  <pivotFields count="48">
    <pivotField showAll="0"/>
    <pivotField showAll="0"/>
    <pivotField axis="axisRow" showAll="0">
      <items count="20">
        <item x="2"/>
        <item x="11"/>
        <item x="8"/>
        <item x="5"/>
        <item x="12"/>
        <item x="9"/>
        <item x="16"/>
        <item x="3"/>
        <item x="4"/>
        <item x="18"/>
        <item x="0"/>
        <item x="13"/>
        <item x="1"/>
        <item x="14"/>
        <item x="15"/>
        <item x="10"/>
        <item x="7"/>
        <item x="6"/>
        <item x="17"/>
        <item t="default"/>
      </items>
    </pivotField>
    <pivotField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items count="23">
        <item x="0"/>
        <item x="1"/>
        <item x="2"/>
        <item x="3"/>
        <item x="4"/>
        <item x="5"/>
        <item x="6"/>
        <item x="7"/>
        <item x="8"/>
        <item x="9"/>
        <item x="10"/>
        <item x="11"/>
        <item x="12"/>
        <item x="13"/>
        <item x="14"/>
        <item x="15"/>
        <item x="16"/>
        <item x="17"/>
        <item x="18"/>
        <item x="19"/>
        <item x="20"/>
        <item x="21"/>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Total Pop_16&amp;more not in labor force" fld="4" baseField="2" baseItem="0" numFmtId="2"/>
    <dataField name="Total Pop_16&amp;morein  civilian labor force" fld="5" baseField="2" baseItem="0" numFmtId="2"/>
  </dataFields>
  <formats count="1">
    <format dxfId="6">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47F812-943A-413A-BA78-62E645DBB66B}"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rowPageCount="1" colPageCount="1"/>
  <pivotFields count="48">
    <pivotField showAll="0"/>
    <pivotField showAll="0"/>
    <pivotField axis="axisPage" showAll="0">
      <items count="20">
        <item x="2"/>
        <item x="11"/>
        <item x="8"/>
        <item x="5"/>
        <item x="12"/>
        <item x="9"/>
        <item x="16"/>
        <item x="3"/>
        <item x="4"/>
        <item x="18"/>
        <item x="0"/>
        <item x="13"/>
        <item x="1"/>
        <item x="14"/>
        <item x="15"/>
        <item x="10"/>
        <item x="7"/>
        <item x="6"/>
        <item x="17"/>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items count="7">
        <item x="0"/>
        <item x="1"/>
        <item x="2"/>
        <item x="3"/>
        <item x="4"/>
        <item x="5"/>
        <item t="default"/>
      </items>
    </pivotField>
    <pivotField numFmtId="2" showAll="0"/>
    <pivotField axis="axisRow" dataField="1" numFmtId="2" showAll="0">
      <items count="11">
        <item x="0"/>
        <item x="1"/>
        <item x="2"/>
        <item x="3"/>
        <item x="4"/>
        <item x="5"/>
        <item x="6"/>
        <item x="7"/>
        <item x="8"/>
        <item x="9"/>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35"/>
  </rowFields>
  <rowItems count="7">
    <i>
      <x v="1"/>
    </i>
    <i>
      <x v="2"/>
    </i>
    <i>
      <x v="3"/>
    </i>
    <i>
      <x v="4"/>
    </i>
    <i>
      <x v="5"/>
    </i>
    <i>
      <x v="8"/>
    </i>
    <i t="grand">
      <x/>
    </i>
  </rowItems>
  <colItems count="1">
    <i/>
  </colItems>
  <pageFields count="1">
    <pageField fld="2" hier="-1"/>
  </pageFields>
  <dataFields count="1">
    <dataField name="Count of Family_poverty_rate" fld="35" subtotal="count" baseField="35"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6E2C72-50BA-4C8E-90C0-4C85B611F7AD}" name="Table4" displayName="Table4" ref="E5:G41" totalsRowShown="0" headerRowDxfId="131" headerRowBorderDxfId="130" tableBorderDxfId="129">
  <autoFilter ref="E5:G41" xr:uid="{B86E2C72-50BA-4C8E-90C0-4C85B611F7AD}">
    <filterColumn colId="0" hiddenButton="1"/>
    <filterColumn colId="1" hiddenButton="1"/>
    <filterColumn colId="2" hiddenButton="1"/>
  </autoFilter>
  <tableColumns count="3">
    <tableColumn id="1" xr3:uid="{123C273B-1AE4-4DAF-B368-82A60765C6EE}" name="Column"/>
    <tableColumn id="2" xr3:uid="{45D0BCEC-6DAD-4CB3-A3C0-96B51B43A2A1}" name="Type"/>
    <tableColumn id="3" xr3:uid="{FFF273E7-B401-4ED8-8433-AAC12D6CC5E0}" name="Description"/>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A44FBE-F5DD-4B87-A131-C9BE9A9C3355}" name="Cleandata_table3" displayName="Cleandata_table3" ref="A1:AV93" totalsRowShown="0">
  <tableColumns count="48">
    <tableColumn id="3" xr3:uid="{0DFBACE7-154D-4BFB-9DC4-93BA2CE7EED6}" name="Neighborhood Name"/>
    <tableColumn id="4" xr3:uid="{04B8924D-F089-4E86-8D97-DA56D24BF79B}" name="Neighborhood Type"/>
    <tableColumn id="5" xr3:uid="{6DE9D61E-C0BD-4BF5-BE9B-2045DDD8E6D3}" name="Neighborhood Subtype"/>
    <tableColumn id="7" xr3:uid="{771DBD9B-4D76-4697-A02B-848057CCCDB4}" name="Population 16 years and over" dataDxfId="128" dataCellStyle="Comma"/>
    <tableColumn id="8" xr3:uid="{D17F6AC5-E483-4C28-8053-53CCAC1DBA13}" name="Population 16 years and over not in labor force" dataDxfId="127" dataCellStyle="Comma"/>
    <tableColumn id="9" xr3:uid="{3EC7011D-B61A-43AD-899C-608C964E9D4A}" name="Population 16 years and over in civilian labor force" dataDxfId="126" dataCellStyle="Comma"/>
    <tableColumn id="10" xr3:uid="{589E6891-3566-4F94-8664-39F5BBFFD937}" name="Population 16 years and over in civilian labor force unemployed" dataDxfId="125" dataCellStyle="Comma"/>
    <tableColumn id="11" xr3:uid="{1A083FDE-9033-4CD9-9B23-7F1631385AAD}" name="Population for whom poverty status is determined" dataDxfId="124" dataCellStyle="Comma"/>
    <tableColumn id="12" xr3:uid="{B4428E5B-C137-49DD-8E6F-539D21A53C52}" name="People with Income to Poverty Ratio Under .50" dataDxfId="123" dataCellStyle="Comma"/>
    <tableColumn id="13" xr3:uid="{F5329562-1E52-4ADB-A7C6-CE0FDF3A56C1}" name="People with Income to Poverty .50 to .99" dataDxfId="122" dataCellStyle="Comma"/>
    <tableColumn id="14" xr3:uid="{9C103983-89B7-4045-82A3-74BA8099F91F}" name="People with Income to Poverty 1.00 to 1.24" dataDxfId="121" dataCellStyle="Comma"/>
    <tableColumn id="15" xr3:uid="{68C31540-FE82-40D7-99C0-AFFFBB93A03C}" name="People with Income to Poverty 1.25 to 1.49" dataDxfId="120" dataCellStyle="Comma"/>
    <tableColumn id="16" xr3:uid="{D2F5EF28-B477-4873-8E7D-B3DC9183EF73}" name="People with Income to Poverty 1.50 to 1.84" dataDxfId="119" dataCellStyle="Comma"/>
    <tableColumn id="17" xr3:uid="{47F66A47-18FA-4F72-8AC7-3E7114057CB0}" name="People with Income to Poverty 1.85 to 1.99" dataDxfId="118" dataCellStyle="Comma"/>
    <tableColumn id="18" xr3:uid="{0811D625-5774-4D2F-A4C8-DBA9631581D7}" name="People with Income to Poverty 2.00 and over" dataDxfId="117" dataCellStyle="Comma"/>
    <tableColumn id="19" xr3:uid="{D8E86754-57A1-484A-B5E6-19EB121CF3ED}" name="Families for whom poverty status is determined" dataDxfId="116" dataCellStyle="Comma"/>
    <tableColumn id="20" xr3:uid="{1D89CF79-866D-45DF-B2D8-1CBF1BE7EA68}" name="Families with income in the past 12 months below poverty level" dataDxfId="115" dataCellStyle="Comma"/>
    <tableColumn id="21" xr3:uid="{0CB7F891-CB57-4390-979C-150DE09AD538}" name="Married-couple family with related children of the householder under 18 years below poverty" dataDxfId="114" dataCellStyle="Comma"/>
    <tableColumn id="22" xr3:uid="{21BC36F0-CAF8-4D59-8618-1B605F608309}" name="Married-couple family without related children of the householder under 18 years below poverty" dataDxfId="113" dataCellStyle="Comma"/>
    <tableColumn id="23" xr3:uid="{3D67D384-A3FA-47B5-B9ED-7D0BB3AC95D7}" name="Single parents with related children of the householder under 18 years below poverty" dataDxfId="112" dataCellStyle="Comma"/>
    <tableColumn id="24" xr3:uid="{CF2A979D-8DE7-43B5-A6A1-BF601F344DD5}" name="Other family below poverty" dataDxfId="111" dataCellStyle="Comma"/>
    <tableColumn id="25" xr3:uid="{3417B37A-30E5-4408-9678-26A2813FB428}" name="Population 20 to 64 years for whom poverty status is determined" dataDxfId="110" dataCellStyle="Comma"/>
    <tableColumn id="26" xr3:uid="{FDE51B93-2BCD-43DC-AC02-E500606BEFAE}" name="Population 20 to 64 years below poverty" dataDxfId="109" dataCellStyle="Comma"/>
    <tableColumn id="27" xr3:uid="{0F4D1E9B-1472-4A19-83B8-0369B4903282}" name="Population 20 to 64 years employed" dataDxfId="108" dataCellStyle="Comma"/>
    <tableColumn id="28" xr3:uid="{C5E5E5EB-D598-4DE5-9A60-BC56A09D7D70}" name="Population 20 to 64 years below poverty employed" dataDxfId="107" dataCellStyle="Comma"/>
    <tableColumn id="29" xr3:uid="{5E3D1875-4535-4C4E-B646-B861F795B3B4}" name="People with Income to Poverty below 2.00" dataDxfId="106" dataCellStyle="Comma"/>
    <tableColumn id="30" xr3:uid="{DDEC6B83-44C6-4E6E-94B9-489C252A2493}" name="Population 20 to 64 years in civilian labor force" dataDxfId="105" dataCellStyle="Comma"/>
    <tableColumn id="31" xr3:uid="{95A3AB3F-7F8B-4283-B415-20F238567BB7}" name="Population 20 to 64 years in civilian labor force below poverty" dataDxfId="104" dataCellStyle="Comma"/>
    <tableColumn id="32" xr3:uid="{DB4AAFBC-0B68-461C-A3AA-E4710FFA9093}" name="Population 20 to 64 years not in labor force" dataDxfId="103" dataCellStyle="Comma"/>
    <tableColumn id="33" xr3:uid="{8DEE69C4-9165-40A6-9A39-46163AF21763}" name="Population 20 to 64 years not in labor force below poverty" dataDxfId="102" dataCellStyle="Comma"/>
    <tableColumn id="34" xr3:uid="{33018BAE-51E6-4E29-BFC1-4145FA935AE9}" name="Population 20 to 64 years unemployed" dataDxfId="101" dataCellStyle="Comma"/>
    <tableColumn id="35" xr3:uid="{02EE7FC8-39B4-4AD8-B59F-64D09CA3B8BA}" name="Population 20 to 64 years unemployed below poverty" dataDxfId="100" dataCellStyle="Comma"/>
    <tableColumn id="37" xr3:uid="{80239913-90A2-4A06-BB08-A0A36CABF7BC}" name="Poverty_rate_20_64" dataDxfId="99">
      <calculatedColumnFormula>IFERROR(Cleandata_table3[[#This Row],[Population 20 to 64 years below poverty]]/Cleandata_table3[[#This Row],[Population 20 to 64 years for whom poverty status is determined]],"")</calculatedColumnFormula>
    </tableColumn>
    <tableColumn id="38" xr3:uid="{D44E733C-86CF-4AAC-8425-9998ABB5430D}" name="Unemployment_rate_20_64" dataDxfId="98">
      <calculatedColumnFormula>IFERROR(Cleandata_table3[[#This Row],[Population 20 to 64 years unemployed]]/Cleandata_table3[[#This Row],[Population 20 to 64 years in civilian labor force]],"")</calculatedColumnFormula>
    </tableColumn>
    <tableColumn id="39" xr3:uid="{81946E79-8AA3-4205-90C6-CD855FE7CB39}" name="Laborforce_participation_20_64" dataDxfId="97">
      <calculatedColumnFormula>IFERROR(Cleandata_table3[[#This Row],[Population 20 to 64 years in civilian labor force]]/Cleandata_table3[[#This Row],[Population 20 to 64 years for whom poverty status is determined]],"")</calculatedColumnFormula>
    </tableColumn>
    <tableColumn id="40" xr3:uid="{24AC8809-2FE2-4A31-AEB1-8839E30999BA}" name="Family_poverty_rate" dataDxfId="96">
      <calculatedColumnFormula>IFERROR(Cleandata_table3[[#This Row],[Families with income in the past 12 months below poverty level]]/Cleandata_table3[[#This Row],[Families for whom poverty status is determined]],"")</calculatedColumnFormula>
    </tableColumn>
    <tableColumn id="41" xr3:uid="{486496CE-4E8B-4ECD-BAFB-B9631821936F}" name="Employment_rate_20_64" dataDxfId="95">
      <calculatedColumnFormula>IFERROR(Cleandata_table3[[#This Row],[Population 20 to 64 years employed]]/Cleandata_table3[[#This Row],[Population 20 to 64 years for whom poverty status is determined]],"")</calculatedColumnFormula>
    </tableColumn>
    <tableColumn id="42" xr3:uid="{74833FEB-E55C-4F42-81D6-2D723CB5647E}" name="Nilf_share_20_64" dataDxfId="94">
      <calculatedColumnFormula>IFERROR(Cleandata_table3[[#This Row],[Population 20 to 64 years not in labor force]]/Cleandata_table3[[#This Row],[Population 20 to 64 years for whom poverty status is determined]],"")</calculatedColumnFormula>
    </tableColumn>
    <tableColumn id="6" xr3:uid="{2D63612E-40DA-490A-9842-729F1675212B}" name="Family with related children below poverty" dataDxfId="93">
      <calculatedColumnFormula>IFERROR(Cleandata_table3[[#This Row],[Married-couple family with related children of the householder under 18 years below poverty]]/Cleandata_table3[[#This Row],[Families for whom poverty status is determined]],"")</calculatedColumnFormula>
    </tableColumn>
    <tableColumn id="36" xr3:uid="{58573414-F93E-422D-96F8-CD275B956D23}" name="Family without related children below poverty" dataDxfId="92">
      <calculatedColumnFormula>IFERROR(Cleandata_table3[[#This Row],[Married-couple family without related children of the householder under 18 years below poverty]]/Cleandata_table3[[#This Row],[Families for whom poverty status is determined]],"")</calculatedColumnFormula>
    </tableColumn>
    <tableColumn id="43" xr3:uid="{E5005B56-C9CC-41A0-9509-82A1E2BCB02B}" name="Single parents with related children below poverty" dataDxfId="91">
      <calculatedColumnFormula>IFERROR(Cleandata_table3[[#This Row],[Single parents with related children of the householder under 18 years below poverty]]/Cleandata_table3[[#This Row],[Families for whom poverty status is determined]],"")</calculatedColumnFormula>
    </tableColumn>
    <tableColumn id="44" xr3:uid="{30E553B3-8FC4-4FAC-8B3C-13CF3639D547}" name="Other families below poverty" dataDxfId="90">
      <calculatedColumnFormula>IFERROR(Cleandata_table3[[#This Row],[Other family below poverty]]/Cleandata_table3[[#This Row],[Families for whom poverty status is determined]],"")</calculatedColumnFormula>
    </tableColumn>
    <tableColumn id="45" xr3:uid="{E5651837-06C8-404E-86C6-7E22A644DED2}" name="Unemployment_rate_16+" dataDxfId="89">
      <calculatedColumnFormula>IFERROR(Cleandata_table3[[#This Row],[Population 16 years and over in civilian labor force unemployed]]/Cleandata_table3[[#This Row],[Population 16 years and over in civilian labor force]],"")</calculatedColumnFormula>
    </tableColumn>
    <tableColumn id="46" xr3:uid="{4611DD0C-45C4-49B1-B686-4748CE02AAE2}" name="Employment_rate_16+" dataDxfId="88">
      <calculatedColumnFormula>IFERROR((Cleandata_table3[[#This Row],[Population 16 years and over in civilian labor force]]-Cleandata_table3[[#This Row],[Population 16 years and over in civilian labor force unemployed]])/Cleandata_table3[[#This Row],[Population 16 years and over]],"")</calculatedColumnFormula>
    </tableColumn>
    <tableColumn id="47" xr3:uid="{A51EFF3C-3D1F-4F52-911E-196D5893F572}" name="Laborforce_participation_16+" dataDxfId="87">
      <calculatedColumnFormula>IFERROR(Cleandata_table3[[#This Row],[Population 16 years and over in civilian labor force]]/Cleandata_table3[[#This Row],[Population 16 years and over]],"")</calculatedColumnFormula>
    </tableColumn>
    <tableColumn id="48" xr3:uid="{D05F153E-7B2B-4D67-A9D3-232D893E47C5}" name="NILF_share_16+" dataDxfId="86">
      <calculatedColumnFormula>IFERROR(Cleandata_table3[[#This Row],[Population 16 years and over not in labor force]]/Cleandata_table3[[#This Row],[Population 16 years and over]],"")</calculatedColumnFormula>
    </tableColumn>
    <tableColumn id="49" xr3:uid="{FE1C6FE9-F50C-426A-A8B2-D025ADB3289F}" name="Key" dataDxfId="85">
      <calculatedColumnFormula>Cleandata_table3[[#This Row],[Neighborhood Name]]&amp; " | " &amp;Cleandata_table3[[#This Row],[Neighborhood Subtype]]</calculatedColumnFormula>
    </tableColumn>
    <tableColumn id="1" xr3:uid="{E454B8D2-5B9B-49BE-95FA-3120B88B0199}" name="ACS Vinatage" dataDxfId="84"/>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DD38B5-8FD8-4164-B1C9-9A086CF77AA6}" name="Cleandata_table" displayName="Cleandata_table" ref="A1:AV93" totalsRowShown="0">
  <autoFilter ref="A1:AV93" xr:uid="{06DD38B5-8FD8-4164-B1C9-9A086CF77AA6}"/>
  <tableColumns count="48">
    <tableColumn id="3" xr3:uid="{1E760F96-A55C-44AE-8126-5ADC7654393E}" name="Neighborhood Name"/>
    <tableColumn id="4" xr3:uid="{0CAE59EA-3C51-4DF7-926B-8ADED3C78B70}" name="Neighborhood Type"/>
    <tableColumn id="5" xr3:uid="{0636E0B6-F903-4F81-B109-C4FD4BCCCDBA}" name="Neighborhood Subtype"/>
    <tableColumn id="7" xr3:uid="{69CBD501-77BF-4FDB-874D-43EF80130BE1}" name="Population 16 years and over" dataDxfId="83" dataCellStyle="Comma"/>
    <tableColumn id="8" xr3:uid="{E663FCB2-7EF5-4B4D-8026-1ADEF21132C6}" name="Population 16 years and over not in labor force" dataDxfId="82" dataCellStyle="Comma"/>
    <tableColumn id="9" xr3:uid="{8D163FED-CBCC-440F-BA29-010778C9C45F}" name="Population 16 years and over in civilian labor force" dataDxfId="81" dataCellStyle="Comma"/>
    <tableColumn id="10" xr3:uid="{0250D2CE-8E16-4995-9130-D5135E6E8C7E}" name="Population 16 years and over in civilian labor force unemployed" dataDxfId="80" dataCellStyle="Comma"/>
    <tableColumn id="11" xr3:uid="{9DA607DC-5E5A-4A7B-9C52-BF369BFD10B9}" name="Population for whom poverty status is determined" dataDxfId="79" dataCellStyle="Comma"/>
    <tableColumn id="12" xr3:uid="{6B39C69E-E1F0-4712-B9FE-09EFBAC3A0B8}" name="People with Income to Poverty Ratio Under .50" dataDxfId="78" dataCellStyle="Comma"/>
    <tableColumn id="13" xr3:uid="{A2463132-8A3D-4223-B24B-BCD616EB1F49}" name="People with Income to Poverty .50 to .99" dataDxfId="77" dataCellStyle="Comma"/>
    <tableColumn id="14" xr3:uid="{FF50CFB8-FF70-4BFC-89EA-944EB9F480FC}" name="People with Income to Poverty 1.00 to 1.24" dataDxfId="76" dataCellStyle="Comma"/>
    <tableColumn id="15" xr3:uid="{F4845BE7-9CE0-4423-9095-EDD82A5B1362}" name="People with Income to Poverty 1.25 to 1.49" dataDxfId="75" dataCellStyle="Comma"/>
    <tableColumn id="16" xr3:uid="{3AC524D1-CAD4-412B-BBC5-444615349C53}" name="People with Income to Poverty 1.50 to 1.84" dataDxfId="74" dataCellStyle="Comma"/>
    <tableColumn id="17" xr3:uid="{C4DF6196-3C8D-4BCD-AE58-65225F97DAC0}" name="People with Income to Poverty 1.85 to 1.99" dataDxfId="73" dataCellStyle="Comma"/>
    <tableColumn id="18" xr3:uid="{BEC97CDA-088F-4252-8074-23DF5F0D3ADB}" name="People with Income to Poverty 2.00 and over" dataDxfId="72" dataCellStyle="Comma"/>
    <tableColumn id="19" xr3:uid="{A07F0D55-8739-46AA-B6F2-36A2E2AEA8E5}" name="Families for whom poverty status is determined" dataDxfId="71" dataCellStyle="Comma"/>
    <tableColumn id="20" xr3:uid="{1A2EC885-16CC-4A50-8849-A8F60207E528}" name="Families with income in the past 12 months below poverty level" dataDxfId="70" dataCellStyle="Comma"/>
    <tableColumn id="21" xr3:uid="{589A9304-D54A-4B26-A0DF-D43F33ABFE3E}" name="Married-couple family with related children of the householder under 18 years below poverty" dataDxfId="69" dataCellStyle="Comma"/>
    <tableColumn id="22" xr3:uid="{F3E41EC1-B37C-42EF-82BF-09D28278406C}" name="Married-couple family without related children of the householder under 18 years below poverty" dataDxfId="68" dataCellStyle="Comma"/>
    <tableColumn id="23" xr3:uid="{DF2CADFA-DF1E-4767-9AA5-57D67B503F1A}" name="Single parents with related children of the householder under 18 years below poverty" dataDxfId="67" dataCellStyle="Comma"/>
    <tableColumn id="24" xr3:uid="{82B06B1A-595D-4488-BFF0-34D02F3B5C8D}" name="Other family below poverty" dataDxfId="66" dataCellStyle="Comma"/>
    <tableColumn id="25" xr3:uid="{3D655DB6-68A1-46F9-A23E-63A1796E95D5}" name="Population 20 to 64 years for whom poverty status is determined" dataDxfId="65" dataCellStyle="Comma"/>
    <tableColumn id="26" xr3:uid="{3ADEC200-22DC-4E85-BC11-CC73400029ED}" name="Population 20 to 64 years below poverty" dataDxfId="64" dataCellStyle="Comma"/>
    <tableColumn id="27" xr3:uid="{A4BB8EC8-06F3-463E-8C7B-DD528A68B84E}" name="Population 20 to 64 years employed" dataDxfId="63" dataCellStyle="Comma"/>
    <tableColumn id="28" xr3:uid="{A6B31CC2-0359-4AD1-92AD-5413E22CF3C9}" name="Population 20 to 64 years below poverty employed" dataDxfId="62" dataCellStyle="Comma"/>
    <tableColumn id="29" xr3:uid="{5579E823-0C32-4407-9D9F-A03832E66C13}" name="People with Income to Poverty below 2.00" dataDxfId="61" dataCellStyle="Comma"/>
    <tableColumn id="30" xr3:uid="{0774FED4-3B46-4C44-9C6C-BE7F0ECCC6B7}" name="Population 20 to 64 years in civilian labor force" dataDxfId="60" dataCellStyle="Comma"/>
    <tableColumn id="31" xr3:uid="{831E7C19-10B0-4903-B3BD-3AB20F7B0609}" name="Population 20 to 64 years in civilian labor force below poverty" dataDxfId="59" dataCellStyle="Comma"/>
    <tableColumn id="32" xr3:uid="{07E6BE6B-1046-4E6C-A541-307A2DABE014}" name="Population 20 to 64 years not in labor force" dataDxfId="58" dataCellStyle="Comma"/>
    <tableColumn id="33" xr3:uid="{8FC4C551-A078-42E8-A5B6-E23EDC0B8E73}" name="Population 20 to 64 years not in labor force below poverty" dataDxfId="57" dataCellStyle="Comma"/>
    <tableColumn id="34" xr3:uid="{4740FCBC-6C0E-44CA-B138-48084B8D0A58}" name="Population 20 to 64 years unemployed" dataDxfId="56" dataCellStyle="Comma"/>
    <tableColumn id="35" xr3:uid="{EA098F4F-0A84-424A-BAEA-4313A3FED72B}" name="Population 20 to 64 years unemployed below poverty" dataDxfId="55" dataCellStyle="Comma"/>
    <tableColumn id="37" xr3:uid="{DB6BDF07-46B9-4FB3-BEE4-3B88C3BBCB2E}" name="Poverty_rate_20_64" dataDxfId="54"/>
    <tableColumn id="38" xr3:uid="{C0FD9F62-3472-49A0-931F-397D3DD129A3}" name="Unemployment_rate_20_64" dataDxfId="53"/>
    <tableColumn id="39" xr3:uid="{C56975D9-8C1F-4CBE-8991-7A815D92566A}" name="Laborforce_participation_20_64" dataDxfId="52"/>
    <tableColumn id="40" xr3:uid="{18A333D9-EC59-4A93-BEDD-831A4A347546}" name="Family_poverty_rate" dataDxfId="51"/>
    <tableColumn id="41" xr3:uid="{744802E5-F1E7-4E4C-92EE-522E1D5B2061}" name="Employment_rate_20_64" dataDxfId="50"/>
    <tableColumn id="42" xr3:uid="{789C720E-1199-445D-90C0-6C9B3EDEEDF1}" name="Nilf_share_20_64" dataDxfId="49"/>
    <tableColumn id="6" xr3:uid="{1CAE2299-D556-48E8-B97C-085BB88718F3}" name="Family with related children below poverty" dataDxfId="48"/>
    <tableColumn id="36" xr3:uid="{0F3E4366-8FEC-414F-958F-919EC17AD871}" name="Family without related children below poverty" dataDxfId="47"/>
    <tableColumn id="43" xr3:uid="{5E69C096-F383-478A-9B44-4C132C85C785}" name="Single parents with related children below poverty" dataDxfId="46"/>
    <tableColumn id="44" xr3:uid="{F46D78C9-F9EE-41C9-843E-2969661FABB3}" name="Other families below poverty" dataDxfId="45"/>
    <tableColumn id="45" xr3:uid="{B74D7C8E-BDD7-4EA2-BFE7-6AB991D2935A}" name="Unemployment_rate_16+" dataDxfId="44"/>
    <tableColumn id="46" xr3:uid="{E3ADEA2E-8DB6-4569-B16C-4ACA0FF2766D}" name="Employment_rate_16+" dataDxfId="43"/>
    <tableColumn id="47" xr3:uid="{5A83A83C-3089-4BBE-A543-F2F9C366528C}" name="Laborforce_participation_16+" dataDxfId="42"/>
    <tableColumn id="48" xr3:uid="{5E6A2D79-3483-4649-8BC5-C7C0FB5B3DE8}" name="NILF_share_16+" dataDxfId="41"/>
    <tableColumn id="49" xr3:uid="{E7400EAE-6F6A-4CEA-A785-FAAF294364F3}" name="Key" dataDxfId="40"/>
    <tableColumn id="1" xr3:uid="{0FEC7BBB-6BF1-4324-AA40-C6D4F0AF9503}" name="ACS Vinatage" dataDxfId="3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3A8D68-22EC-4667-9B2B-5FA830459A2A}" name="Table7" displayName="Table7" ref="F4:G22" totalsRowShown="0">
  <autoFilter ref="F4:G22" xr:uid="{DA3A8D68-22EC-4667-9B2B-5FA830459A2A}">
    <filterColumn colId="1">
      <top10 val="10" filterVal="38400"/>
    </filterColumn>
  </autoFilter>
  <sortState xmlns:xlrd2="http://schemas.microsoft.com/office/spreadsheetml/2017/richdata2" ref="F5:G14">
    <sortCondition ref="G4:G22"/>
  </sortState>
  <tableColumns count="2">
    <tableColumn id="1" xr3:uid="{B44E5157-BF67-4681-A5AB-63367E7FD33C}" name="Neighborhood Subtype" dataDxfId="12"/>
    <tableColumn id="2" xr3:uid="{76D972B4-39F5-44A8-A1C7-BB920B7A8A3E}" name="Total Population 20 to 64 years for whom poverty status is determined" dataDxfId="1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A2B396-0F45-427F-9736-7C686D56FD29}" name="Table5" displayName="Table5" ref="C3:D21" totalsRowShown="0">
  <autoFilter ref="C3:D21" xr:uid="{0DA2B396-0F45-427F-9736-7C686D56FD29}">
    <filterColumn colId="1">
      <top10 val="10" filterVal="3565"/>
    </filterColumn>
  </autoFilter>
  <sortState xmlns:xlrd2="http://schemas.microsoft.com/office/spreadsheetml/2017/richdata2" ref="C8:D21">
    <sortCondition ref="D3:D21"/>
  </sortState>
  <tableColumns count="2">
    <tableColumn id="1" xr3:uid="{5F1F6678-9028-4F43-B47A-8BC828F10FFF}" name="Neighborhood Subtype"/>
    <tableColumn id="2" xr3:uid="{7A77D00E-ACFD-44A9-966B-2FAE7332C049}" name="Total Population 20 to 64 years below poverty" dataDxfId="10"/>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D6E929-A4E4-411E-893D-8728F9047CC4}" name="Table8" displayName="Table8" ref="B28:D47" totalsRowShown="0">
  <autoFilter ref="B28:D47" xr:uid="{C4D6E929-A4E4-411E-893D-8728F9047CC4}">
    <filterColumn colId="1">
      <top10 val="10" filterVal="37810"/>
    </filterColumn>
  </autoFilter>
  <sortState xmlns:xlrd2="http://schemas.microsoft.com/office/spreadsheetml/2017/richdata2" ref="B29:D38">
    <sortCondition ref="C28:C47"/>
  </sortState>
  <tableColumns count="3">
    <tableColumn id="1" xr3:uid="{BA9DE095-E370-4C29-8605-F623719C43D3}" name="Row Labels"/>
    <tableColumn id="2" xr3:uid="{673B108C-BC3F-479A-9641-713BF658BCD9}" name="Population 20 to 64 years employed"/>
    <tableColumn id="3" xr3:uid="{0D14097B-CD41-4D14-8DEE-54447A11FA04}" name="Population 20 to 64 years unemployed"/>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C159F36-14EE-4731-8EB2-C24E5D7C240F}" name="Table9" displayName="Table9" ref="B32:D51" totalsRowShown="0">
  <autoFilter ref="B32:D51" xr:uid="{8C159F36-14EE-4731-8EB2-C24E5D7C240F}">
    <filterColumn colId="1">
      <top10 val="10" filterVal="0.69968543289725116"/>
    </filterColumn>
  </autoFilter>
  <tableColumns count="3">
    <tableColumn id="1" xr3:uid="{F72FC4FF-BC09-4E1B-88EE-8F12015EB340}" name="Neighborhood Subtype"/>
    <tableColumn id="2" xr3:uid="{87BC104E-7041-4744-923B-A228A94FA3C5}" name="Employment rate" dataDxfId="8"/>
    <tableColumn id="3" xr3:uid="{8F4B888E-0BAB-4E18-9B39-C048FB07E202}" name="Laborforce participation rate" dataDxfId="7"/>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344355C-25CB-45E2-B04D-29AF4E469F7D}" name="Table10" displayName="Table10" ref="B32:D51" totalsRowShown="0" headerRowBorderDxfId="5" tableBorderDxfId="4" totalsRowBorderDxfId="3">
  <autoFilter ref="B32:D51" xr:uid="{B5B7365F-90B8-4D2F-92EF-3693E06D5043}">
    <filterColumn colId="0">
      <filters>
        <filter val="East"/>
        <filter val="Greater Duwamish"/>
        <filter val="Magnolia/Queen Anne"/>
        <filter val="Northeast"/>
        <filter val="Northwest"/>
        <filter val="Outside Villages"/>
        <filter val="Residential Urban Village"/>
        <filter val="Southwest"/>
        <filter val="Urban Center"/>
      </filters>
    </filterColumn>
    <filterColumn colId="1">
      <top10 val="10" filterVal="12727"/>
    </filterColumn>
  </autoFilter>
  <sortState xmlns:xlrd2="http://schemas.microsoft.com/office/spreadsheetml/2017/richdata2" ref="B37:D51">
    <sortCondition descending="1" ref="C32:C51"/>
  </sortState>
  <tableColumns count="3">
    <tableColumn id="1" xr3:uid="{47F5EBAB-D488-459C-9368-1AA2A969817A}" name="Neighborhood Subtype" dataDxfId="2"/>
    <tableColumn id="2" xr3:uid="{2C89B6B4-9DDC-4745-87A7-2507FD9BCAFC}" name="Total Pop_16&amp;more not in labor force" dataDxfId="1"/>
    <tableColumn id="3" xr3:uid="{702E6A3D-C5D0-497D-A022-099C580DBAF1}" name="Total Pop_16&amp;morein  civilian labor force"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3.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94E3-7E08-4F13-8881-90C9BAF5E313}">
  <dimension ref="E5:G37"/>
  <sheetViews>
    <sheetView workbookViewId="0">
      <selection activeCell="E12" sqref="E12"/>
    </sheetView>
  </sheetViews>
  <sheetFormatPr defaultRowHeight="14.5" x14ac:dyDescent="0.35"/>
  <cols>
    <col min="5" max="5" width="82.90625" bestFit="1" customWidth="1"/>
    <col min="6" max="6" width="19.453125" bestFit="1" customWidth="1"/>
    <col min="7" max="7" width="38.90625" bestFit="1" customWidth="1"/>
  </cols>
  <sheetData>
    <row r="5" spans="5:7" x14ac:dyDescent="0.35">
      <c r="E5" s="1" t="s">
        <v>0</v>
      </c>
      <c r="F5" s="1" t="s">
        <v>1</v>
      </c>
      <c r="G5" s="1" t="s">
        <v>2</v>
      </c>
    </row>
    <row r="6" spans="5:7" x14ac:dyDescent="0.35">
      <c r="E6" t="s">
        <v>3</v>
      </c>
      <c r="F6" t="s">
        <v>4</v>
      </c>
      <c r="G6" t="s">
        <v>5</v>
      </c>
    </row>
    <row r="7" spans="5:7" x14ac:dyDescent="0.35">
      <c r="E7" t="s">
        <v>6</v>
      </c>
      <c r="F7" t="s">
        <v>4</v>
      </c>
      <c r="G7" t="s">
        <v>7</v>
      </c>
    </row>
    <row r="8" spans="5:7" x14ac:dyDescent="0.35">
      <c r="E8" t="s">
        <v>8</v>
      </c>
      <c r="F8" t="s">
        <v>4</v>
      </c>
      <c r="G8" t="s">
        <v>9</v>
      </c>
    </row>
    <row r="9" spans="5:7" x14ac:dyDescent="0.35">
      <c r="E9" t="s">
        <v>10</v>
      </c>
      <c r="F9" t="s">
        <v>4</v>
      </c>
      <c r="G9" t="s">
        <v>11</v>
      </c>
    </row>
    <row r="10" spans="5:7" x14ac:dyDescent="0.35">
      <c r="E10" t="s">
        <v>12</v>
      </c>
      <c r="F10" t="s">
        <v>13</v>
      </c>
      <c r="G10" t="s">
        <v>14</v>
      </c>
    </row>
    <row r="11" spans="5:7" x14ac:dyDescent="0.35">
      <c r="E11" t="s">
        <v>15</v>
      </c>
      <c r="F11" t="s">
        <v>13</v>
      </c>
      <c r="G11" t="s">
        <v>16</v>
      </c>
    </row>
    <row r="12" spans="5:7" x14ac:dyDescent="0.35">
      <c r="E12" t="s">
        <v>17</v>
      </c>
      <c r="F12" t="s">
        <v>13</v>
      </c>
      <c r="G12" t="s">
        <v>18</v>
      </c>
    </row>
    <row r="13" spans="5:7" x14ac:dyDescent="0.35">
      <c r="E13" t="s">
        <v>19</v>
      </c>
      <c r="F13" t="s">
        <v>13</v>
      </c>
      <c r="G13" t="s">
        <v>20</v>
      </c>
    </row>
    <row r="14" spans="5:7" x14ac:dyDescent="0.35">
      <c r="E14" t="s">
        <v>21</v>
      </c>
      <c r="F14" t="s">
        <v>13</v>
      </c>
      <c r="G14" t="s">
        <v>22</v>
      </c>
    </row>
    <row r="15" spans="5:7" x14ac:dyDescent="0.35">
      <c r="E15" t="s">
        <v>23</v>
      </c>
      <c r="F15" t="s">
        <v>13</v>
      </c>
      <c r="G15" t="s">
        <v>24</v>
      </c>
    </row>
    <row r="16" spans="5:7" x14ac:dyDescent="0.35">
      <c r="E16" t="s">
        <v>25</v>
      </c>
      <c r="F16" t="s">
        <v>13</v>
      </c>
      <c r="G16" t="s">
        <v>26</v>
      </c>
    </row>
    <row r="17" spans="5:7" x14ac:dyDescent="0.35">
      <c r="E17" t="s">
        <v>27</v>
      </c>
      <c r="F17" t="s">
        <v>13</v>
      </c>
      <c r="G17" t="s">
        <v>28</v>
      </c>
    </row>
    <row r="18" spans="5:7" x14ac:dyDescent="0.35">
      <c r="E18" t="s">
        <v>29</v>
      </c>
      <c r="F18" t="s">
        <v>13</v>
      </c>
      <c r="G18" t="s">
        <v>30</v>
      </c>
    </row>
    <row r="19" spans="5:7" x14ac:dyDescent="0.35">
      <c r="E19" t="s">
        <v>31</v>
      </c>
      <c r="F19" t="s">
        <v>13</v>
      </c>
      <c r="G19" t="s">
        <v>32</v>
      </c>
    </row>
    <row r="20" spans="5:7" x14ac:dyDescent="0.35">
      <c r="E20" t="s">
        <v>33</v>
      </c>
      <c r="F20" t="s">
        <v>13</v>
      </c>
      <c r="G20" t="s">
        <v>34</v>
      </c>
    </row>
    <row r="21" spans="5:7" x14ac:dyDescent="0.35">
      <c r="E21" t="s">
        <v>35</v>
      </c>
      <c r="F21" t="s">
        <v>13</v>
      </c>
      <c r="G21" t="s">
        <v>36</v>
      </c>
    </row>
    <row r="22" spans="5:7" x14ac:dyDescent="0.35">
      <c r="E22" t="s">
        <v>37</v>
      </c>
      <c r="F22" t="s">
        <v>13</v>
      </c>
      <c r="G22" t="s">
        <v>38</v>
      </c>
    </row>
    <row r="23" spans="5:7" x14ac:dyDescent="0.35">
      <c r="E23" t="s">
        <v>39</v>
      </c>
      <c r="F23" t="s">
        <v>13</v>
      </c>
      <c r="G23" t="s">
        <v>40</v>
      </c>
    </row>
    <row r="24" spans="5:7" x14ac:dyDescent="0.35">
      <c r="E24" t="s">
        <v>41</v>
      </c>
      <c r="F24" t="s">
        <v>13</v>
      </c>
      <c r="G24" t="s">
        <v>42</v>
      </c>
    </row>
    <row r="25" spans="5:7" x14ac:dyDescent="0.35">
      <c r="E25" t="s">
        <v>43</v>
      </c>
      <c r="F25" t="s">
        <v>13</v>
      </c>
      <c r="G25" t="s">
        <v>44</v>
      </c>
    </row>
    <row r="26" spans="5:7" x14ac:dyDescent="0.35">
      <c r="E26" t="s">
        <v>45</v>
      </c>
      <c r="F26" t="s">
        <v>13</v>
      </c>
      <c r="G26" t="s">
        <v>46</v>
      </c>
    </row>
    <row r="27" spans="5:7" x14ac:dyDescent="0.35">
      <c r="E27" t="s">
        <v>47</v>
      </c>
      <c r="F27" t="s">
        <v>13</v>
      </c>
      <c r="G27" t="s">
        <v>48</v>
      </c>
    </row>
    <row r="28" spans="5:7" x14ac:dyDescent="0.35">
      <c r="E28" t="s">
        <v>49</v>
      </c>
      <c r="F28" t="s">
        <v>13</v>
      </c>
      <c r="G28" t="s">
        <v>50</v>
      </c>
    </row>
    <row r="29" spans="5:7" x14ac:dyDescent="0.35">
      <c r="E29" t="s">
        <v>51</v>
      </c>
      <c r="F29" t="s">
        <v>13</v>
      </c>
      <c r="G29" t="s">
        <v>52</v>
      </c>
    </row>
    <row r="30" spans="5:7" x14ac:dyDescent="0.35">
      <c r="E30" t="s">
        <v>53</v>
      </c>
      <c r="F30" t="s">
        <v>13</v>
      </c>
      <c r="G30" t="s">
        <v>54</v>
      </c>
    </row>
    <row r="31" spans="5:7" x14ac:dyDescent="0.35">
      <c r="E31" t="s">
        <v>55</v>
      </c>
      <c r="F31" t="s">
        <v>13</v>
      </c>
      <c r="G31" t="s">
        <v>56</v>
      </c>
    </row>
    <row r="32" spans="5:7" x14ac:dyDescent="0.35">
      <c r="E32" t="s">
        <v>57</v>
      </c>
      <c r="F32" t="s">
        <v>13</v>
      </c>
      <c r="G32" t="s">
        <v>58</v>
      </c>
    </row>
    <row r="33" spans="5:7" x14ac:dyDescent="0.35">
      <c r="E33" t="s">
        <v>59</v>
      </c>
      <c r="F33" t="s">
        <v>13</v>
      </c>
      <c r="G33" t="s">
        <v>60</v>
      </c>
    </row>
    <row r="34" spans="5:7" x14ac:dyDescent="0.35">
      <c r="E34" t="s">
        <v>61</v>
      </c>
      <c r="F34" t="s">
        <v>13</v>
      </c>
      <c r="G34" t="s">
        <v>62</v>
      </c>
    </row>
    <row r="35" spans="5:7" x14ac:dyDescent="0.35">
      <c r="E35" t="s">
        <v>63</v>
      </c>
      <c r="F35" t="s">
        <v>13</v>
      </c>
      <c r="G35" t="s">
        <v>64</v>
      </c>
    </row>
    <row r="36" spans="5:7" x14ac:dyDescent="0.35">
      <c r="E36" t="s">
        <v>65</v>
      </c>
      <c r="F36" t="s">
        <v>13</v>
      </c>
      <c r="G36" t="s">
        <v>66</v>
      </c>
    </row>
    <row r="37" spans="5:7" x14ac:dyDescent="0.35">
      <c r="E37" t="s">
        <v>67</v>
      </c>
      <c r="F37" t="s">
        <v>13</v>
      </c>
      <c r="G37" t="s">
        <v>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EEED-A527-40D7-80A7-70EE5BD80B18}">
  <dimension ref="A1:AV93"/>
  <sheetViews>
    <sheetView workbookViewId="0">
      <selection activeCell="D6" sqref="D6"/>
    </sheetView>
  </sheetViews>
  <sheetFormatPr defaultRowHeight="14.5" x14ac:dyDescent="0.35"/>
  <cols>
    <col min="1" max="1" width="31.90625" bestFit="1" customWidth="1"/>
    <col min="2" max="2" width="19.6328125" bestFit="1" customWidth="1"/>
    <col min="3" max="3" width="22.08984375" customWidth="1"/>
    <col min="4" max="4" width="28.6328125" style="2" bestFit="1" customWidth="1"/>
    <col min="5" max="5" width="44" style="2" bestFit="1" customWidth="1"/>
    <col min="6" max="6" width="46.6328125" style="2" bestFit="1" customWidth="1"/>
    <col min="7" max="7" width="57" style="3" bestFit="1" customWidth="1"/>
    <col min="8" max="8" width="47.08984375" style="2" bestFit="1" customWidth="1"/>
    <col min="9" max="9" width="43.90625" style="2" bestFit="1" customWidth="1"/>
    <col min="10" max="10" width="38.54296875" style="2" bestFit="1" customWidth="1"/>
    <col min="11" max="14" width="38.90625" style="3" customWidth="1"/>
    <col min="15" max="15" width="40.453125" style="3" customWidth="1"/>
    <col min="16" max="16" width="42.6328125" style="3" customWidth="1"/>
    <col min="17" max="17" width="57" style="3" bestFit="1" customWidth="1"/>
    <col min="18" max="18" width="83.54296875" style="3" bestFit="1" customWidth="1"/>
    <col min="19" max="20" width="46.6328125" style="4" customWidth="1"/>
    <col min="21" max="21" width="29.08984375" style="4" bestFit="1" customWidth="1"/>
    <col min="22" max="22" width="58.54296875" style="4" bestFit="1" customWidth="1"/>
    <col min="23" max="23" width="37.453125" style="4" bestFit="1" customWidth="1"/>
    <col min="24" max="24" width="32.90625" style="4" customWidth="1"/>
    <col min="25" max="25" width="45.36328125" style="4" customWidth="1"/>
    <col min="26" max="26" width="38.08984375" style="4" customWidth="1"/>
    <col min="27" max="27" width="41.6328125" style="4" customWidth="1"/>
    <col min="28" max="28" width="46.6328125" style="4" customWidth="1"/>
    <col min="29" max="29" width="39" style="4" customWidth="1"/>
    <col min="30" max="30" width="49.90625" style="4" bestFit="1" customWidth="1"/>
    <col min="31" max="31" width="35" style="4" customWidth="1"/>
    <col min="32" max="32" width="46.6328125" style="4" customWidth="1"/>
    <col min="33" max="33" width="46.6328125" style="7" customWidth="1"/>
    <col min="34" max="34" width="28.453125" style="7" bestFit="1" customWidth="1"/>
    <col min="35" max="35" width="31.54296875" style="7" bestFit="1" customWidth="1"/>
    <col min="36" max="36" width="21.90625" style="9" bestFit="1" customWidth="1"/>
    <col min="37" max="37" width="25.54296875" style="7" bestFit="1" customWidth="1"/>
    <col min="38" max="38" width="18.54296875" style="7" bestFit="1" customWidth="1"/>
    <col min="39" max="39" width="42.36328125" style="9" bestFit="1" customWidth="1"/>
    <col min="40" max="40" width="45.54296875" style="9" bestFit="1" customWidth="1"/>
    <col min="41" max="41" width="49.453125" style="9" bestFit="1" customWidth="1"/>
    <col min="42" max="42" width="29.90625" style="9" bestFit="1" customWidth="1"/>
    <col min="43" max="43" width="26.36328125" style="5" bestFit="1" customWidth="1"/>
    <col min="44" max="44" width="23.453125" style="5" bestFit="1" customWidth="1"/>
    <col min="45" max="45" width="29.54296875" style="5" bestFit="1" customWidth="1"/>
    <col min="46" max="46" width="17.08984375" style="5" customWidth="1"/>
    <col min="47" max="47" width="46.08984375" customWidth="1"/>
    <col min="48" max="48" width="14.08984375" bestFit="1" customWidth="1"/>
  </cols>
  <sheetData>
    <row r="1" spans="1:48" x14ac:dyDescent="0.35">
      <c r="A1" t="s">
        <v>69</v>
      </c>
      <c r="B1" t="s">
        <v>70</v>
      </c>
      <c r="C1" t="s">
        <v>71</v>
      </c>
      <c r="D1" s="2" t="s">
        <v>14</v>
      </c>
      <c r="E1" s="2" t="s">
        <v>72</v>
      </c>
      <c r="F1" s="2" t="s">
        <v>73</v>
      </c>
      <c r="G1" s="3" t="s">
        <v>74</v>
      </c>
      <c r="H1" s="2" t="s">
        <v>75</v>
      </c>
      <c r="I1" s="2" t="s">
        <v>23</v>
      </c>
      <c r="J1" s="2" t="s">
        <v>25</v>
      </c>
      <c r="K1" s="3" t="s">
        <v>27</v>
      </c>
      <c r="L1" s="3" t="s">
        <v>29</v>
      </c>
      <c r="M1" s="3" t="s">
        <v>31</v>
      </c>
      <c r="N1" s="3" t="s">
        <v>33</v>
      </c>
      <c r="O1" s="3" t="s">
        <v>35</v>
      </c>
      <c r="P1" s="3" t="s">
        <v>76</v>
      </c>
      <c r="Q1" s="3" t="s">
        <v>77</v>
      </c>
      <c r="R1" s="3" t="s">
        <v>41</v>
      </c>
      <c r="S1" s="4" t="s">
        <v>43</v>
      </c>
      <c r="T1" s="4" t="s">
        <v>45</v>
      </c>
      <c r="U1" s="4" t="s">
        <v>47</v>
      </c>
      <c r="V1" s="4" t="s">
        <v>78</v>
      </c>
      <c r="W1" s="4" t="s">
        <v>79</v>
      </c>
      <c r="X1" s="4" t="s">
        <v>80</v>
      </c>
      <c r="Y1" s="4" t="s">
        <v>81</v>
      </c>
      <c r="Z1" s="4" t="s">
        <v>82</v>
      </c>
      <c r="AA1" s="4" t="s">
        <v>83</v>
      </c>
      <c r="AB1" s="4" t="s">
        <v>84</v>
      </c>
      <c r="AC1" s="4" t="s">
        <v>85</v>
      </c>
      <c r="AD1" s="4" t="s">
        <v>86</v>
      </c>
      <c r="AE1" s="4" t="s">
        <v>87</v>
      </c>
      <c r="AF1" s="4" t="s">
        <v>88</v>
      </c>
      <c r="AG1" s="7" t="s">
        <v>89</v>
      </c>
      <c r="AH1" s="7" t="s">
        <v>90</v>
      </c>
      <c r="AI1" s="7" t="s">
        <v>91</v>
      </c>
      <c r="AJ1" s="9" t="s">
        <v>92</v>
      </c>
      <c r="AK1" s="7" t="s">
        <v>93</v>
      </c>
      <c r="AL1" s="7" t="s">
        <v>94</v>
      </c>
      <c r="AM1" s="9" t="s">
        <v>95</v>
      </c>
      <c r="AN1" s="9" t="s">
        <v>96</v>
      </c>
      <c r="AO1" s="9" t="s">
        <v>97</v>
      </c>
      <c r="AP1" s="9" t="s">
        <v>48</v>
      </c>
      <c r="AQ1" s="5" t="s">
        <v>98</v>
      </c>
      <c r="AR1" s="5" t="s">
        <v>99</v>
      </c>
      <c r="AS1" s="5" t="s">
        <v>100</v>
      </c>
      <c r="AT1" s="5" t="s">
        <v>101</v>
      </c>
      <c r="AU1" t="s">
        <v>102</v>
      </c>
      <c r="AV1" t="s">
        <v>103</v>
      </c>
    </row>
    <row r="2" spans="1:48" x14ac:dyDescent="0.35">
      <c r="A2" t="s">
        <v>104</v>
      </c>
      <c r="B2" t="s">
        <v>105</v>
      </c>
      <c r="C2" t="s">
        <v>106</v>
      </c>
      <c r="D2" s="12">
        <v>14516</v>
      </c>
      <c r="E2" s="12">
        <v>3751</v>
      </c>
      <c r="F2" s="12">
        <v>10745</v>
      </c>
      <c r="G2" s="12">
        <v>574</v>
      </c>
      <c r="H2" s="12">
        <v>17039</v>
      </c>
      <c r="I2" s="12">
        <v>670</v>
      </c>
      <c r="J2" s="12">
        <v>717</v>
      </c>
      <c r="K2" s="12">
        <v>376</v>
      </c>
      <c r="L2" s="12">
        <v>426</v>
      </c>
      <c r="M2" s="12">
        <v>594</v>
      </c>
      <c r="N2" s="12">
        <v>168</v>
      </c>
      <c r="O2" s="12">
        <v>14088</v>
      </c>
      <c r="P2" s="12">
        <v>3765</v>
      </c>
      <c r="Q2" s="12">
        <v>156</v>
      </c>
      <c r="R2" s="12">
        <v>0</v>
      </c>
      <c r="S2" s="12">
        <v>29</v>
      </c>
      <c r="T2" s="12">
        <v>67</v>
      </c>
      <c r="U2" s="12">
        <v>60</v>
      </c>
      <c r="V2" s="12">
        <v>11633</v>
      </c>
      <c r="W2" s="12">
        <v>887</v>
      </c>
      <c r="X2" s="12">
        <v>9637</v>
      </c>
      <c r="Y2" s="12">
        <v>392</v>
      </c>
      <c r="Z2" s="12">
        <v>2951</v>
      </c>
      <c r="AA2" s="12">
        <v>10165</v>
      </c>
      <c r="AB2" s="12">
        <v>594</v>
      </c>
      <c r="AC2" s="12">
        <v>1448</v>
      </c>
      <c r="AD2" s="12">
        <v>293</v>
      </c>
      <c r="AE2" s="12">
        <v>528</v>
      </c>
      <c r="AF2" s="12">
        <v>202</v>
      </c>
      <c r="AG2" s="8">
        <f>IFERROR(Cleandata_table3[[#This Row],[Population 20 to 64 years below poverty]]/Cleandata_table3[[#This Row],[Population 20 to 64 years for whom poverty status is determined]],"")</f>
        <v>7.624860311183701E-2</v>
      </c>
      <c r="AH2" s="8">
        <f>IFERROR(Cleandata_table3[[#This Row],[Population 20 to 64 years unemployed]]/Cleandata_table3[[#This Row],[Population 20 to 64 years in civilian labor force]],"")</f>
        <v>5.1942941465814067E-2</v>
      </c>
      <c r="AI2" s="8">
        <f>IFERROR(Cleandata_table3[[#This Row],[Population 20 to 64 years in civilian labor force]]/Cleandata_table3[[#This Row],[Population 20 to 64 years for whom poverty status is determined]],"")</f>
        <v>0.87380727241468237</v>
      </c>
      <c r="AJ2" s="10">
        <f>IFERROR(Cleandata_table3[[#This Row],[Families with income in the past 12 months below poverty level]]/Cleandata_table3[[#This Row],[Families for whom poverty status is determined]],"")</f>
        <v>4.1434262948207172E-2</v>
      </c>
      <c r="AK2" s="8">
        <f>IFERROR(Cleandata_table3[[#This Row],[Population 20 to 64 years employed]]/Cleandata_table3[[#This Row],[Population 20 to 64 years for whom poverty status is determined]],"")</f>
        <v>0.82841915241124386</v>
      </c>
      <c r="AL2" s="8">
        <f>IFERROR(Cleandata_table3[[#This Row],[Population 20 to 64 years not in labor force]]/Cleandata_table3[[#This Row],[Population 20 to 64 years for whom poverty status is determined]],"")</f>
        <v>0.12447348061549042</v>
      </c>
      <c r="AM2" s="10">
        <f>IFERROR(Cleandata_table3[[#This Row],[Married-couple family with related children of the householder under 18 years below poverty]]/Cleandata_table3[[#This Row],[Families for whom poverty status is determined]],"")</f>
        <v>0</v>
      </c>
      <c r="AN2" s="10">
        <f>IFERROR(Cleandata_table3[[#This Row],[Married-couple family without related children of the householder under 18 years below poverty]]/Cleandata_table3[[#This Row],[Families for whom poverty status is determined]],"")</f>
        <v>7.7025232403718459E-3</v>
      </c>
      <c r="AO2" s="10">
        <f>IFERROR(Cleandata_table3[[#This Row],[Single parents with related children of the householder under 18 years below poverty]]/Cleandata_table3[[#This Row],[Families for whom poverty status is determined]],"")</f>
        <v>1.7795484727755644E-2</v>
      </c>
      <c r="AP2" s="10">
        <f>IFERROR(Cleandata_table3[[#This Row],[Other family below poverty]]/Cleandata_table3[[#This Row],[Families for whom poverty status is determined]],"")</f>
        <v>1.5936254980079681E-2</v>
      </c>
      <c r="AQ2" s="6">
        <f>IFERROR(Cleandata_table3[[#This Row],[Population 16 years and over in civilian labor force unemployed]]/Cleandata_table3[[#This Row],[Population 16 years and over in civilian labor force]],"")</f>
        <v>5.3420195439739415E-2</v>
      </c>
      <c r="AR2" s="6">
        <f>IFERROR((Cleandata_table3[[#This Row],[Population 16 years and over in civilian labor force]]-Cleandata_table3[[#This Row],[Population 16 years and over in civilian labor force unemployed]])/Cleandata_table3[[#This Row],[Population 16 years and over]],"")</f>
        <v>0.70067511711215213</v>
      </c>
      <c r="AS2" s="6">
        <f>IFERROR(Cleandata_table3[[#This Row],[Population 16 years and over in civilian labor force]]/Cleandata_table3[[#This Row],[Population 16 years and over]],"")</f>
        <v>0.74021769082391842</v>
      </c>
      <c r="AT2" s="6">
        <f>IFERROR(Cleandata_table3[[#This Row],[Population 16 years and over not in labor force]]/Cleandata_table3[[#This Row],[Population 16 years and over]],"")</f>
        <v>0.25840451915128132</v>
      </c>
      <c r="AU2" t="str">
        <f>Cleandata_table3[[#This Row],[Neighborhood Name]]&amp; " | " &amp;Cleandata_table3[[#This Row],[Neighborhood Subtype]]</f>
        <v>Olympic Hills/Victory Heights | North</v>
      </c>
      <c r="AV2" t="s">
        <v>107</v>
      </c>
    </row>
    <row r="3" spans="1:48" x14ac:dyDescent="0.35">
      <c r="A3" t="s">
        <v>108</v>
      </c>
      <c r="B3" t="s">
        <v>105</v>
      </c>
      <c r="C3" t="s">
        <v>106</v>
      </c>
      <c r="D3" s="12">
        <v>12513</v>
      </c>
      <c r="E3" s="12">
        <v>3677</v>
      </c>
      <c r="F3" s="12">
        <v>8836</v>
      </c>
      <c r="G3" s="12">
        <v>259</v>
      </c>
      <c r="H3" s="12">
        <v>14445</v>
      </c>
      <c r="I3" s="12">
        <v>498</v>
      </c>
      <c r="J3" s="12">
        <v>824</v>
      </c>
      <c r="K3" s="12">
        <v>497</v>
      </c>
      <c r="L3" s="12">
        <v>287</v>
      </c>
      <c r="M3" s="12">
        <v>582</v>
      </c>
      <c r="N3" s="12">
        <v>119</v>
      </c>
      <c r="O3" s="12">
        <v>11638</v>
      </c>
      <c r="P3" s="12">
        <v>3442</v>
      </c>
      <c r="Q3" s="12">
        <v>169</v>
      </c>
      <c r="R3" s="12">
        <v>54</v>
      </c>
      <c r="S3" s="12">
        <v>28</v>
      </c>
      <c r="T3" s="12">
        <v>49</v>
      </c>
      <c r="U3" s="12">
        <v>38</v>
      </c>
      <c r="V3" s="12">
        <v>9389</v>
      </c>
      <c r="W3" s="12">
        <v>843</v>
      </c>
      <c r="X3" s="12">
        <v>7774</v>
      </c>
      <c r="Y3" s="12">
        <v>250</v>
      </c>
      <c r="Z3" s="12">
        <v>2807</v>
      </c>
      <c r="AA3" s="12">
        <v>7985</v>
      </c>
      <c r="AB3" s="12">
        <v>321</v>
      </c>
      <c r="AC3" s="12">
        <v>1404</v>
      </c>
      <c r="AD3" s="12">
        <v>522</v>
      </c>
      <c r="AE3" s="12">
        <v>211</v>
      </c>
      <c r="AF3" s="12">
        <v>71</v>
      </c>
      <c r="AG3" s="8">
        <f>IFERROR(Cleandata_table3[[#This Row],[Population 20 to 64 years below poverty]]/Cleandata_table3[[#This Row],[Population 20 to 64 years for whom poverty status is determined]],"")</f>
        <v>8.9785919693258068E-2</v>
      </c>
      <c r="AH3" s="8">
        <f>IFERROR(Cleandata_table3[[#This Row],[Population 20 to 64 years unemployed]]/Cleandata_table3[[#This Row],[Population 20 to 64 years in civilian labor force]],"")</f>
        <v>2.6424546023794616E-2</v>
      </c>
      <c r="AI3" s="8">
        <f>IFERROR(Cleandata_table3[[#This Row],[Population 20 to 64 years in civilian labor force]]/Cleandata_table3[[#This Row],[Population 20 to 64 years for whom poverty status is determined]],"")</f>
        <v>0.85046330812653104</v>
      </c>
      <c r="AJ3" s="10">
        <f>IFERROR(Cleandata_table3[[#This Row],[Families with income in the past 12 months below poverty level]]/Cleandata_table3[[#This Row],[Families for whom poverty status is determined]],"")</f>
        <v>4.9099360836722838E-2</v>
      </c>
      <c r="AK3" s="8">
        <f>IFERROR(Cleandata_table3[[#This Row],[Population 20 to 64 years employed]]/Cleandata_table3[[#This Row],[Population 20 to 64 years for whom poverty status is determined]],"")</f>
        <v>0.82799020129939294</v>
      </c>
      <c r="AL3" s="8">
        <f>IFERROR(Cleandata_table3[[#This Row],[Population 20 to 64 years not in labor force]]/Cleandata_table3[[#This Row],[Population 20 to 64 years for whom poverty status is determined]],"")</f>
        <v>0.14953669187346896</v>
      </c>
      <c r="AM3" s="10">
        <f>IFERROR(Cleandata_table3[[#This Row],[Married-couple family with related children of the householder under 18 years below poverty]]/Cleandata_table3[[#This Row],[Families for whom poverty status is determined]],"")</f>
        <v>1.568855316676351E-2</v>
      </c>
      <c r="AN3" s="10">
        <f>IFERROR(Cleandata_table3[[#This Row],[Married-couple family without related children of the householder under 18 years below poverty]]/Cleandata_table3[[#This Row],[Families for whom poverty status is determined]],"")</f>
        <v>8.1348053457292267E-3</v>
      </c>
      <c r="AO3" s="10">
        <f>IFERROR(Cleandata_table3[[#This Row],[Single parents with related children of the householder under 18 years below poverty]]/Cleandata_table3[[#This Row],[Families for whom poverty status is determined]],"")</f>
        <v>1.4235909355026147E-2</v>
      </c>
      <c r="AP3" s="10">
        <f>IFERROR(Cleandata_table3[[#This Row],[Other family below poverty]]/Cleandata_table3[[#This Row],[Families for whom poverty status is determined]],"")</f>
        <v>1.1040092969203951E-2</v>
      </c>
      <c r="AQ3" s="6">
        <f>IFERROR(Cleandata_table3[[#This Row],[Population 16 years and over in civilian labor force unemployed]]/Cleandata_table3[[#This Row],[Population 16 years and over in civilian labor force]],"")</f>
        <v>2.931190583974649E-2</v>
      </c>
      <c r="AR3" s="6">
        <f>IFERROR((Cleandata_table3[[#This Row],[Population 16 years and over in civilian labor force]]-Cleandata_table3[[#This Row],[Population 16 years and over in civilian labor force unemployed]])/Cleandata_table3[[#This Row],[Population 16 years and over]],"")</f>
        <v>0.68544713497962118</v>
      </c>
      <c r="AS3" s="6">
        <f>IFERROR(Cleandata_table3[[#This Row],[Population 16 years and over in civilian labor force]]/Cleandata_table3[[#This Row],[Population 16 years and over]],"")</f>
        <v>0.70614560856709019</v>
      </c>
      <c r="AT3" s="6">
        <f>IFERROR(Cleandata_table3[[#This Row],[Population 16 years and over not in labor force]]/Cleandata_table3[[#This Row],[Population 16 years and over]],"")</f>
        <v>0.29385439143290976</v>
      </c>
      <c r="AU3" t="str">
        <f>Cleandata_table3[[#This Row],[Neighborhood Name]]&amp; " | " &amp;Cleandata_table3[[#This Row],[Neighborhood Subtype]]</f>
        <v>Cedar Park/Meadowbrook | North</v>
      </c>
      <c r="AV3" t="s">
        <v>107</v>
      </c>
    </row>
    <row r="4" spans="1:48" x14ac:dyDescent="0.35">
      <c r="A4" t="s">
        <v>109</v>
      </c>
      <c r="B4" t="s">
        <v>105</v>
      </c>
      <c r="C4" t="s">
        <v>110</v>
      </c>
      <c r="D4" s="12">
        <v>13260</v>
      </c>
      <c r="E4" s="12">
        <v>4753</v>
      </c>
      <c r="F4" s="12">
        <v>8507</v>
      </c>
      <c r="G4" s="12">
        <v>356</v>
      </c>
      <c r="H4" s="12">
        <v>15645</v>
      </c>
      <c r="I4" s="12">
        <v>676</v>
      </c>
      <c r="J4" s="12">
        <v>1105</v>
      </c>
      <c r="K4" s="12">
        <v>173</v>
      </c>
      <c r="L4" s="12">
        <v>291</v>
      </c>
      <c r="M4" s="12">
        <v>898</v>
      </c>
      <c r="N4" s="12">
        <v>118</v>
      </c>
      <c r="O4" s="12">
        <v>12384</v>
      </c>
      <c r="P4" s="12">
        <v>3478</v>
      </c>
      <c r="Q4" s="12">
        <v>242</v>
      </c>
      <c r="R4" s="12">
        <v>9</v>
      </c>
      <c r="S4" s="12">
        <v>49</v>
      </c>
      <c r="T4" s="12">
        <v>161</v>
      </c>
      <c r="U4" s="12">
        <v>23</v>
      </c>
      <c r="V4" s="12">
        <v>9295</v>
      </c>
      <c r="W4" s="12">
        <v>861</v>
      </c>
      <c r="X4" s="12">
        <v>7454</v>
      </c>
      <c r="Y4" s="12">
        <v>285</v>
      </c>
      <c r="Z4" s="12">
        <v>3261</v>
      </c>
      <c r="AA4" s="12">
        <v>7776</v>
      </c>
      <c r="AB4" s="12">
        <v>371</v>
      </c>
      <c r="AC4" s="12">
        <v>1519</v>
      </c>
      <c r="AD4" s="12">
        <v>490</v>
      </c>
      <c r="AE4" s="12">
        <v>322</v>
      </c>
      <c r="AF4" s="12">
        <v>86</v>
      </c>
      <c r="AG4" s="8">
        <f>IFERROR(Cleandata_table3[[#This Row],[Population 20 to 64 years below poverty]]/Cleandata_table3[[#This Row],[Population 20 to 64 years for whom poverty status is determined]],"")</f>
        <v>9.263044647660032E-2</v>
      </c>
      <c r="AH4" s="8">
        <f>IFERROR(Cleandata_table3[[#This Row],[Population 20 to 64 years unemployed]]/Cleandata_table3[[#This Row],[Population 20 to 64 years in civilian labor force]],"")</f>
        <v>4.1409465020576131E-2</v>
      </c>
      <c r="AI4" s="8">
        <f>IFERROR(Cleandata_table3[[#This Row],[Population 20 to 64 years in civilian labor force]]/Cleandata_table3[[#This Row],[Population 20 to 64 years for whom poverty status is determined]],"")</f>
        <v>0.836578805809575</v>
      </c>
      <c r="AJ4" s="10">
        <f>IFERROR(Cleandata_table3[[#This Row],[Families with income in the past 12 months below poverty level]]/Cleandata_table3[[#This Row],[Families for whom poverty status is determined]],"")</f>
        <v>6.9580218516388723E-2</v>
      </c>
      <c r="AK4" s="8">
        <f>IFERROR(Cleandata_table3[[#This Row],[Population 20 to 64 years employed]]/Cleandata_table3[[#This Row],[Population 20 to 64 years for whom poverty status is determined]],"")</f>
        <v>0.80193652501344814</v>
      </c>
      <c r="AL4" s="8">
        <f>IFERROR(Cleandata_table3[[#This Row],[Population 20 to 64 years not in labor force]]/Cleandata_table3[[#This Row],[Population 20 to 64 years for whom poverty status is determined]],"")</f>
        <v>0.16342119419042497</v>
      </c>
      <c r="AM4" s="10">
        <f>IFERROR(Cleandata_table3[[#This Row],[Married-couple family with related children of the householder under 18 years below poverty]]/Cleandata_table3[[#This Row],[Families for whom poverty status is determined]],"")</f>
        <v>2.5876940770557791E-3</v>
      </c>
      <c r="AN4" s="10">
        <f>IFERROR(Cleandata_table3[[#This Row],[Married-couple family without related children of the householder under 18 years below poverty]]/Cleandata_table3[[#This Row],[Families for whom poverty status is determined]],"")</f>
        <v>1.4088556641748131E-2</v>
      </c>
      <c r="AO4" s="10">
        <f>IFERROR(Cleandata_table3[[#This Row],[Single parents with related children of the householder under 18 years below poverty]]/Cleandata_table3[[#This Row],[Families for whom poverty status is determined]],"")</f>
        <v>4.6290971822886717E-2</v>
      </c>
      <c r="AP4" s="10">
        <f>IFERROR(Cleandata_table3[[#This Row],[Other family below poverty]]/Cleandata_table3[[#This Row],[Families for whom poverty status is determined]],"")</f>
        <v>6.6129959746981026E-3</v>
      </c>
      <c r="AQ4" s="6">
        <f>IFERROR(Cleandata_table3[[#This Row],[Population 16 years and over in civilian labor force unemployed]]/Cleandata_table3[[#This Row],[Population 16 years and over in civilian labor force]],"")</f>
        <v>4.1847889972963445E-2</v>
      </c>
      <c r="AR4" s="6">
        <f>IFERROR((Cleandata_table3[[#This Row],[Population 16 years and over in civilian labor force]]-Cleandata_table3[[#This Row],[Population 16 years and over in civilian labor force unemployed]])/Cleandata_table3[[#This Row],[Population 16 years and over]],"")</f>
        <v>0.61470588235294121</v>
      </c>
      <c r="AS4" s="6">
        <f>IFERROR(Cleandata_table3[[#This Row],[Population 16 years and over in civilian labor force]]/Cleandata_table3[[#This Row],[Population 16 years and over]],"")</f>
        <v>0.64155354449472102</v>
      </c>
      <c r="AT4" s="6">
        <f>IFERROR(Cleandata_table3[[#This Row],[Population 16 years and over not in labor force]]/Cleandata_table3[[#This Row],[Population 16 years and over]],"")</f>
        <v>0.35844645550527904</v>
      </c>
      <c r="AU4" t="str">
        <f>Cleandata_table3[[#This Row],[Neighborhood Name]]&amp; " | " &amp;Cleandata_table3[[#This Row],[Neighborhood Subtype]]</f>
        <v>Broadview/Bitter Lake | Northwest</v>
      </c>
      <c r="AV4" t="s">
        <v>107</v>
      </c>
    </row>
    <row r="5" spans="1:48" x14ac:dyDescent="0.35">
      <c r="A5" t="s">
        <v>111</v>
      </c>
      <c r="B5" t="s">
        <v>105</v>
      </c>
      <c r="C5" t="s">
        <v>110</v>
      </c>
      <c r="D5" s="12">
        <v>8798</v>
      </c>
      <c r="E5" s="12">
        <v>1895</v>
      </c>
      <c r="F5" s="12">
        <v>6903</v>
      </c>
      <c r="G5" s="12">
        <v>267</v>
      </c>
      <c r="H5" s="12">
        <v>9597</v>
      </c>
      <c r="I5" s="12">
        <v>631</v>
      </c>
      <c r="J5" s="12">
        <v>429</v>
      </c>
      <c r="K5" s="12">
        <v>145</v>
      </c>
      <c r="L5" s="12">
        <v>310</v>
      </c>
      <c r="M5" s="12">
        <v>411</v>
      </c>
      <c r="N5" s="12">
        <v>155</v>
      </c>
      <c r="O5" s="12">
        <v>7516</v>
      </c>
      <c r="P5" s="12">
        <v>1580</v>
      </c>
      <c r="Q5" s="12">
        <v>92</v>
      </c>
      <c r="R5" s="12">
        <v>0</v>
      </c>
      <c r="S5" s="12">
        <v>13</v>
      </c>
      <c r="T5" s="12">
        <v>13</v>
      </c>
      <c r="U5" s="12">
        <v>66</v>
      </c>
      <c r="V5" s="12">
        <v>7609</v>
      </c>
      <c r="W5" s="12">
        <v>712</v>
      </c>
      <c r="X5" s="12">
        <v>6339</v>
      </c>
      <c r="Y5" s="12">
        <v>201</v>
      </c>
      <c r="Z5" s="12">
        <v>2081</v>
      </c>
      <c r="AA5" s="12">
        <v>6601</v>
      </c>
      <c r="AB5" s="12">
        <v>301</v>
      </c>
      <c r="AC5" s="12">
        <v>1008</v>
      </c>
      <c r="AD5" s="12">
        <v>411</v>
      </c>
      <c r="AE5" s="12">
        <v>262</v>
      </c>
      <c r="AF5" s="12">
        <v>100</v>
      </c>
      <c r="AG5" s="8">
        <f>IFERROR(Cleandata_table3[[#This Row],[Population 20 to 64 years below poverty]]/Cleandata_table3[[#This Row],[Population 20 to 64 years for whom poverty status is determined]],"")</f>
        <v>9.3573399921146008E-2</v>
      </c>
      <c r="AH5" s="8">
        <f>IFERROR(Cleandata_table3[[#This Row],[Population 20 to 64 years unemployed]]/Cleandata_table3[[#This Row],[Population 20 to 64 years in civilian labor force]],"")</f>
        <v>3.9690955915770335E-2</v>
      </c>
      <c r="AI5" s="8">
        <f>IFERROR(Cleandata_table3[[#This Row],[Population 20 to 64 years in civilian labor force]]/Cleandata_table3[[#This Row],[Population 20 to 64 years for whom poverty status is determined]],"")</f>
        <v>0.86752529898804043</v>
      </c>
      <c r="AJ5" s="10">
        <f>IFERROR(Cleandata_table3[[#This Row],[Families with income in the past 12 months below poverty level]]/Cleandata_table3[[#This Row],[Families for whom poverty status is determined]],"")</f>
        <v>5.8227848101265821E-2</v>
      </c>
      <c r="AK5" s="8">
        <f>IFERROR(Cleandata_table3[[#This Row],[Population 20 to 64 years employed]]/Cleandata_table3[[#This Row],[Population 20 to 64 years for whom poverty status is determined]],"")</f>
        <v>0.83309239059009066</v>
      </c>
      <c r="AL5" s="8">
        <f>IFERROR(Cleandata_table3[[#This Row],[Population 20 to 64 years not in labor force]]/Cleandata_table3[[#This Row],[Population 20 to 64 years for whom poverty status is determined]],"")</f>
        <v>0.13247470101195952</v>
      </c>
      <c r="AM5" s="10">
        <f>IFERROR(Cleandata_table3[[#This Row],[Married-couple family with related children of the householder under 18 years below poverty]]/Cleandata_table3[[#This Row],[Families for whom poverty status is determined]],"")</f>
        <v>0</v>
      </c>
      <c r="AN5" s="10">
        <f>IFERROR(Cleandata_table3[[#This Row],[Married-couple family without related children of the householder under 18 years below poverty]]/Cleandata_table3[[#This Row],[Families for whom poverty status is determined]],"")</f>
        <v>8.2278481012658233E-3</v>
      </c>
      <c r="AO5" s="10">
        <f>IFERROR(Cleandata_table3[[#This Row],[Single parents with related children of the householder under 18 years below poverty]]/Cleandata_table3[[#This Row],[Families for whom poverty status is determined]],"")</f>
        <v>8.2278481012658233E-3</v>
      </c>
      <c r="AP5" s="10">
        <f>IFERROR(Cleandata_table3[[#This Row],[Other family below poverty]]/Cleandata_table3[[#This Row],[Families for whom poverty status is determined]],"")</f>
        <v>4.1772151898734178E-2</v>
      </c>
      <c r="AQ5" s="6">
        <f>IFERROR(Cleandata_table3[[#This Row],[Population 16 years and over in civilian labor force unemployed]]/Cleandata_table3[[#This Row],[Population 16 years and over in civilian labor force]],"")</f>
        <v>3.867883528900478E-2</v>
      </c>
      <c r="AR5" s="6">
        <f>IFERROR((Cleandata_table3[[#This Row],[Population 16 years and over in civilian labor force]]-Cleandata_table3[[#This Row],[Population 16 years and over in civilian labor force unemployed]])/Cleandata_table3[[#This Row],[Population 16 years and over]],"")</f>
        <v>0.75426233234826101</v>
      </c>
      <c r="AS5" s="6">
        <f>IFERROR(Cleandata_table3[[#This Row],[Population 16 years and over in civilian labor force]]/Cleandata_table3[[#This Row],[Population 16 years and over]],"")</f>
        <v>0.7846101386678791</v>
      </c>
      <c r="AT5" s="6">
        <f>IFERROR(Cleandata_table3[[#This Row],[Population 16 years and over not in labor force]]/Cleandata_table3[[#This Row],[Population 16 years and over]],"")</f>
        <v>0.21538986133212093</v>
      </c>
      <c r="AU5" t="str">
        <f>Cleandata_table3[[#This Row],[Neighborhood Name]]&amp; " | " &amp;Cleandata_table3[[#This Row],[Neighborhood Subtype]]</f>
        <v>Licton Springs | Northwest</v>
      </c>
      <c r="AV5" t="s">
        <v>107</v>
      </c>
    </row>
    <row r="6" spans="1:48" x14ac:dyDescent="0.35">
      <c r="A6" t="s">
        <v>112</v>
      </c>
      <c r="B6" t="s">
        <v>105</v>
      </c>
      <c r="C6" t="s">
        <v>110</v>
      </c>
      <c r="D6" s="12">
        <v>23396</v>
      </c>
      <c r="E6" s="12">
        <v>4985</v>
      </c>
      <c r="F6" s="12">
        <v>18381</v>
      </c>
      <c r="G6" s="12">
        <v>565</v>
      </c>
      <c r="H6" s="12">
        <v>26912</v>
      </c>
      <c r="I6" s="12">
        <v>854</v>
      </c>
      <c r="J6" s="12">
        <v>371</v>
      </c>
      <c r="K6" s="12">
        <v>241</v>
      </c>
      <c r="L6" s="12">
        <v>395</v>
      </c>
      <c r="M6" s="12">
        <v>417</v>
      </c>
      <c r="N6" s="12">
        <v>335</v>
      </c>
      <c r="O6" s="12">
        <v>24299</v>
      </c>
      <c r="P6" s="12">
        <v>6376</v>
      </c>
      <c r="Q6" s="12">
        <v>117</v>
      </c>
      <c r="R6" s="12">
        <v>35</v>
      </c>
      <c r="S6" s="12">
        <v>12</v>
      </c>
      <c r="T6" s="12">
        <v>65</v>
      </c>
      <c r="U6" s="12">
        <v>5</v>
      </c>
      <c r="V6" s="12">
        <v>19323</v>
      </c>
      <c r="W6" s="12">
        <v>886</v>
      </c>
      <c r="X6" s="12">
        <v>16629</v>
      </c>
      <c r="Y6" s="12">
        <v>324</v>
      </c>
      <c r="Z6" s="12">
        <v>2613</v>
      </c>
      <c r="AA6" s="12">
        <v>17105</v>
      </c>
      <c r="AB6" s="12">
        <v>456</v>
      </c>
      <c r="AC6" s="12">
        <v>2188</v>
      </c>
      <c r="AD6" s="12">
        <v>430</v>
      </c>
      <c r="AE6" s="12">
        <v>476</v>
      </c>
      <c r="AF6" s="12">
        <v>132</v>
      </c>
      <c r="AG6" s="8">
        <f>IFERROR(Cleandata_table3[[#This Row],[Population 20 to 64 years below poverty]]/Cleandata_table3[[#This Row],[Population 20 to 64 years for whom poverty status is determined]],"")</f>
        <v>4.5852093360244268E-2</v>
      </c>
      <c r="AH6" s="8">
        <f>IFERROR(Cleandata_table3[[#This Row],[Population 20 to 64 years unemployed]]/Cleandata_table3[[#This Row],[Population 20 to 64 years in civilian labor force]],"")</f>
        <v>2.782812043262204E-2</v>
      </c>
      <c r="AI6" s="8">
        <f>IFERROR(Cleandata_table3[[#This Row],[Population 20 to 64 years in civilian labor force]]/Cleandata_table3[[#This Row],[Population 20 to 64 years for whom poverty status is determined]],"")</f>
        <v>0.88521451120426431</v>
      </c>
      <c r="AJ6" s="10">
        <f>IFERROR(Cleandata_table3[[#This Row],[Families with income in the past 12 months below poverty level]]/Cleandata_table3[[#This Row],[Families for whom poverty status is determined]],"")</f>
        <v>1.8350062735257213E-2</v>
      </c>
      <c r="AK6" s="8">
        <f>IFERROR(Cleandata_table3[[#This Row],[Population 20 to 64 years employed]]/Cleandata_table3[[#This Row],[Population 20 to 64 years for whom poverty status is determined]],"")</f>
        <v>0.86058065517776738</v>
      </c>
      <c r="AL6" s="8">
        <f>IFERROR(Cleandata_table3[[#This Row],[Population 20 to 64 years not in labor force]]/Cleandata_table3[[#This Row],[Population 20 to 64 years for whom poverty status is determined]],"")</f>
        <v>0.11323293484448585</v>
      </c>
      <c r="AM6" s="10">
        <f>IFERROR(Cleandata_table3[[#This Row],[Married-couple family with related children of the householder under 18 years below poverty]]/Cleandata_table3[[#This Row],[Families for whom poverty status is determined]],"")</f>
        <v>5.4893350062735257E-3</v>
      </c>
      <c r="AN6" s="10">
        <f>IFERROR(Cleandata_table3[[#This Row],[Married-couple family without related children of the householder under 18 years below poverty]]/Cleandata_table3[[#This Row],[Families for whom poverty status is determined]],"")</f>
        <v>1.8820577164366374E-3</v>
      </c>
      <c r="AO6" s="10">
        <f>IFERROR(Cleandata_table3[[#This Row],[Single parents with related children of the householder under 18 years below poverty]]/Cleandata_table3[[#This Row],[Families for whom poverty status is determined]],"")</f>
        <v>1.019447929736512E-2</v>
      </c>
      <c r="AP6" s="10">
        <f>IFERROR(Cleandata_table3[[#This Row],[Other family below poverty]]/Cleandata_table3[[#This Row],[Families for whom poverty status is determined]],"")</f>
        <v>7.8419071518193227E-4</v>
      </c>
      <c r="AQ6" s="6">
        <f>IFERROR(Cleandata_table3[[#This Row],[Population 16 years and over in civilian labor force unemployed]]/Cleandata_table3[[#This Row],[Population 16 years and over in civilian labor force]],"")</f>
        <v>3.0738262336107939E-2</v>
      </c>
      <c r="AR6" s="6">
        <f>IFERROR((Cleandata_table3[[#This Row],[Population 16 years and over in civilian labor force]]-Cleandata_table3[[#This Row],[Population 16 years and over in civilian labor force unemployed]])/Cleandata_table3[[#This Row],[Population 16 years and over]],"")</f>
        <v>0.76149769191314753</v>
      </c>
      <c r="AS6" s="6">
        <f>IFERROR(Cleandata_table3[[#This Row],[Population 16 years and over in civilian labor force]]/Cleandata_table3[[#This Row],[Population 16 years and over]],"")</f>
        <v>0.78564711916566932</v>
      </c>
      <c r="AT6" s="6">
        <f>IFERROR(Cleandata_table3[[#This Row],[Population 16 years and over not in labor force]]/Cleandata_table3[[#This Row],[Population 16 years and over]],"")</f>
        <v>0.21307061036074543</v>
      </c>
      <c r="AU6" t="str">
        <f>Cleandata_table3[[#This Row],[Neighborhood Name]]&amp; " | " &amp;Cleandata_table3[[#This Row],[Neighborhood Subtype]]</f>
        <v>Greenwood/Phinney Ridge | Northwest</v>
      </c>
      <c r="AV6" t="s">
        <v>107</v>
      </c>
    </row>
    <row r="7" spans="1:48" x14ac:dyDescent="0.35">
      <c r="A7" t="s">
        <v>113</v>
      </c>
      <c r="B7" t="s">
        <v>105</v>
      </c>
      <c r="C7" t="s">
        <v>110</v>
      </c>
      <c r="D7" s="12">
        <v>15265</v>
      </c>
      <c r="E7" s="12">
        <v>3477</v>
      </c>
      <c r="F7" s="12">
        <v>11779</v>
      </c>
      <c r="G7" s="12">
        <v>498</v>
      </c>
      <c r="H7" s="12">
        <v>17425</v>
      </c>
      <c r="I7" s="12">
        <v>513</v>
      </c>
      <c r="J7" s="12">
        <v>784</v>
      </c>
      <c r="K7" s="12">
        <v>338</v>
      </c>
      <c r="L7" s="12">
        <v>463</v>
      </c>
      <c r="M7" s="12">
        <v>431</v>
      </c>
      <c r="N7" s="12">
        <v>96</v>
      </c>
      <c r="O7" s="12">
        <v>14800</v>
      </c>
      <c r="P7" s="12">
        <v>3726</v>
      </c>
      <c r="Q7" s="12">
        <v>92</v>
      </c>
      <c r="R7" s="12">
        <v>7</v>
      </c>
      <c r="S7" s="12">
        <v>9</v>
      </c>
      <c r="T7" s="12">
        <v>50</v>
      </c>
      <c r="U7" s="12">
        <v>26</v>
      </c>
      <c r="V7" s="12">
        <v>12509</v>
      </c>
      <c r="W7" s="12">
        <v>966</v>
      </c>
      <c r="X7" s="12">
        <v>10702</v>
      </c>
      <c r="Y7" s="12">
        <v>289</v>
      </c>
      <c r="Z7" s="12">
        <v>2625</v>
      </c>
      <c r="AA7" s="12">
        <v>11200</v>
      </c>
      <c r="AB7" s="12">
        <v>441</v>
      </c>
      <c r="AC7" s="12">
        <v>1300</v>
      </c>
      <c r="AD7" s="12">
        <v>525</v>
      </c>
      <c r="AE7" s="12">
        <v>498</v>
      </c>
      <c r="AF7" s="12">
        <v>152</v>
      </c>
      <c r="AG7" s="8">
        <f>IFERROR(Cleandata_table3[[#This Row],[Population 20 to 64 years below poverty]]/Cleandata_table3[[#This Row],[Population 20 to 64 years for whom poverty status is determined]],"")</f>
        <v>7.7224398433128144E-2</v>
      </c>
      <c r="AH7" s="8">
        <f>IFERROR(Cleandata_table3[[#This Row],[Population 20 to 64 years unemployed]]/Cleandata_table3[[#This Row],[Population 20 to 64 years in civilian labor force]],"")</f>
        <v>4.4464285714285713E-2</v>
      </c>
      <c r="AI7" s="8">
        <f>IFERROR(Cleandata_table3[[#This Row],[Population 20 to 64 years in civilian labor force]]/Cleandata_table3[[#This Row],[Population 20 to 64 years for whom poverty status is determined]],"")</f>
        <v>0.89535534415221041</v>
      </c>
      <c r="AJ7" s="10">
        <f>IFERROR(Cleandata_table3[[#This Row],[Families with income in the past 12 months below poverty level]]/Cleandata_table3[[#This Row],[Families for whom poverty status is determined]],"")</f>
        <v>2.4691358024691357E-2</v>
      </c>
      <c r="AK7" s="8">
        <f>IFERROR(Cleandata_table3[[#This Row],[Population 20 to 64 years employed]]/Cleandata_table3[[#This Row],[Population 20 to 64 years for whom poverty status is determined]],"")</f>
        <v>0.85554400831401389</v>
      </c>
      <c r="AL7" s="8">
        <f>IFERROR(Cleandata_table3[[#This Row],[Population 20 to 64 years not in labor force]]/Cleandata_table3[[#This Row],[Population 20 to 64 years for whom poverty status is determined]],"")</f>
        <v>0.10392517387481014</v>
      </c>
      <c r="AM7" s="10">
        <f>IFERROR(Cleandata_table3[[#This Row],[Married-couple family with related children of the householder under 18 years below poverty]]/Cleandata_table3[[#This Row],[Families for whom poverty status is determined]],"")</f>
        <v>1.878690284487386E-3</v>
      </c>
      <c r="AN7" s="10">
        <f>IFERROR(Cleandata_table3[[#This Row],[Married-couple family without related children of the householder under 18 years below poverty]]/Cleandata_table3[[#This Row],[Families for whom poverty status is determined]],"")</f>
        <v>2.4154589371980675E-3</v>
      </c>
      <c r="AO7" s="10">
        <f>IFERROR(Cleandata_table3[[#This Row],[Single parents with related children of the householder under 18 years below poverty]]/Cleandata_table3[[#This Row],[Families for whom poverty status is determined]],"")</f>
        <v>1.3419216317767043E-2</v>
      </c>
      <c r="AP7" s="10">
        <f>IFERROR(Cleandata_table3[[#This Row],[Other family below poverty]]/Cleandata_table3[[#This Row],[Families for whom poverty status is determined]],"")</f>
        <v>6.9779924852388618E-3</v>
      </c>
      <c r="AQ7" s="6">
        <f>IFERROR(Cleandata_table3[[#This Row],[Population 16 years and over in civilian labor force unemployed]]/Cleandata_table3[[#This Row],[Population 16 years and over in civilian labor force]],"")</f>
        <v>4.2278631462772734E-2</v>
      </c>
      <c r="AR7" s="6">
        <f>IFERROR((Cleandata_table3[[#This Row],[Population 16 years and over in civilian labor force]]-Cleandata_table3[[#This Row],[Population 16 years and over in civilian labor force unemployed]])/Cleandata_table3[[#This Row],[Population 16 years and over]],"")</f>
        <v>0.73901080904028826</v>
      </c>
      <c r="AS7" s="6">
        <f>IFERROR(Cleandata_table3[[#This Row],[Population 16 years and over in civilian labor force]]/Cleandata_table3[[#This Row],[Population 16 years and over]],"")</f>
        <v>0.7716344579102522</v>
      </c>
      <c r="AT7" s="6">
        <f>IFERROR(Cleandata_table3[[#This Row],[Population 16 years and over not in labor force]]/Cleandata_table3[[#This Row],[Population 16 years and over]],"")</f>
        <v>0.22777595807402554</v>
      </c>
      <c r="AU7" t="str">
        <f>Cleandata_table3[[#This Row],[Neighborhood Name]]&amp; " | " &amp;Cleandata_table3[[#This Row],[Neighborhood Subtype]]</f>
        <v>Green Lake | Northwest</v>
      </c>
      <c r="AV7" t="s">
        <v>107</v>
      </c>
    </row>
    <row r="8" spans="1:48" x14ac:dyDescent="0.35">
      <c r="A8" t="s">
        <v>114</v>
      </c>
      <c r="B8" t="s">
        <v>105</v>
      </c>
      <c r="C8" t="s">
        <v>110</v>
      </c>
      <c r="D8" s="12">
        <v>8986</v>
      </c>
      <c r="E8" s="12">
        <v>2220</v>
      </c>
      <c r="F8" s="12">
        <v>6766</v>
      </c>
      <c r="G8" s="12">
        <v>316</v>
      </c>
      <c r="H8" s="12">
        <v>10866</v>
      </c>
      <c r="I8" s="12">
        <v>512</v>
      </c>
      <c r="J8" s="12">
        <v>325</v>
      </c>
      <c r="K8" s="12">
        <v>103</v>
      </c>
      <c r="L8" s="12">
        <v>126</v>
      </c>
      <c r="M8" s="12">
        <v>156</v>
      </c>
      <c r="N8" s="12">
        <v>89</v>
      </c>
      <c r="O8" s="12">
        <v>9555</v>
      </c>
      <c r="P8" s="12">
        <v>2632</v>
      </c>
      <c r="Q8" s="12">
        <v>127</v>
      </c>
      <c r="R8" s="12">
        <v>51</v>
      </c>
      <c r="S8" s="12">
        <v>0</v>
      </c>
      <c r="T8" s="12">
        <v>76</v>
      </c>
      <c r="U8" s="12">
        <v>0</v>
      </c>
      <c r="V8" s="12">
        <v>7420</v>
      </c>
      <c r="W8" s="12">
        <v>433</v>
      </c>
      <c r="X8" s="12">
        <v>6080</v>
      </c>
      <c r="Y8" s="12">
        <v>264</v>
      </c>
      <c r="Z8" s="12">
        <v>1311</v>
      </c>
      <c r="AA8" s="12">
        <v>6364</v>
      </c>
      <c r="AB8" s="12">
        <v>342</v>
      </c>
      <c r="AC8" s="12">
        <v>1056</v>
      </c>
      <c r="AD8" s="12">
        <v>91</v>
      </c>
      <c r="AE8" s="12">
        <v>284</v>
      </c>
      <c r="AF8" s="12">
        <v>78</v>
      </c>
      <c r="AG8" s="8">
        <f>IFERROR(Cleandata_table3[[#This Row],[Population 20 to 64 years below poverty]]/Cleandata_table3[[#This Row],[Population 20 to 64 years for whom poverty status is determined]],"")</f>
        <v>5.8355795148247978E-2</v>
      </c>
      <c r="AH8" s="8">
        <f>IFERROR(Cleandata_table3[[#This Row],[Population 20 to 64 years unemployed]]/Cleandata_table3[[#This Row],[Population 20 to 64 years in civilian labor force]],"")</f>
        <v>4.4626021370207415E-2</v>
      </c>
      <c r="AI8" s="8">
        <f>IFERROR(Cleandata_table3[[#This Row],[Population 20 to 64 years in civilian labor force]]/Cleandata_table3[[#This Row],[Population 20 to 64 years for whom poverty status is determined]],"")</f>
        <v>0.85768194070080861</v>
      </c>
      <c r="AJ8" s="10">
        <f>IFERROR(Cleandata_table3[[#This Row],[Families with income in the past 12 months below poverty level]]/Cleandata_table3[[#This Row],[Families for whom poverty status is determined]],"")</f>
        <v>4.8252279635258362E-2</v>
      </c>
      <c r="AK8" s="8">
        <f>IFERROR(Cleandata_table3[[#This Row],[Population 20 to 64 years employed]]/Cleandata_table3[[#This Row],[Population 20 to 64 years for whom poverty status is determined]],"")</f>
        <v>0.81940700808625333</v>
      </c>
      <c r="AL8" s="8">
        <f>IFERROR(Cleandata_table3[[#This Row],[Population 20 to 64 years not in labor force]]/Cleandata_table3[[#This Row],[Population 20 to 64 years for whom poverty status is determined]],"")</f>
        <v>0.14231805929919136</v>
      </c>
      <c r="AM8" s="10">
        <f>IFERROR(Cleandata_table3[[#This Row],[Married-couple family with related children of the householder under 18 years below poverty]]/Cleandata_table3[[#This Row],[Families for whom poverty status is determined]],"")</f>
        <v>1.9376899696048631E-2</v>
      </c>
      <c r="AN8" s="10">
        <f>IFERROR(Cleandata_table3[[#This Row],[Married-couple family without related children of the householder under 18 years below poverty]]/Cleandata_table3[[#This Row],[Families for whom poverty status is determined]],"")</f>
        <v>0</v>
      </c>
      <c r="AO8" s="10">
        <f>IFERROR(Cleandata_table3[[#This Row],[Single parents with related children of the householder under 18 years below poverty]]/Cleandata_table3[[#This Row],[Families for whom poverty status is determined]],"")</f>
        <v>2.8875379939209727E-2</v>
      </c>
      <c r="AP8" s="10">
        <f>IFERROR(Cleandata_table3[[#This Row],[Other family below poverty]]/Cleandata_table3[[#This Row],[Families for whom poverty status is determined]],"")</f>
        <v>0</v>
      </c>
      <c r="AQ8" s="6">
        <f>IFERROR(Cleandata_table3[[#This Row],[Population 16 years and over in civilian labor force unemployed]]/Cleandata_table3[[#This Row],[Population 16 years and over in civilian labor force]],"")</f>
        <v>4.6704108779190068E-2</v>
      </c>
      <c r="AR8" s="6">
        <f>IFERROR((Cleandata_table3[[#This Row],[Population 16 years and over in civilian labor force]]-Cleandata_table3[[#This Row],[Population 16 years and over in civilian labor force unemployed]])/Cleandata_table3[[#This Row],[Population 16 years and over]],"")</f>
        <v>0.71778321833963943</v>
      </c>
      <c r="AS8" s="6">
        <f>IFERROR(Cleandata_table3[[#This Row],[Population 16 years and over in civilian labor force]]/Cleandata_table3[[#This Row],[Population 16 years and over]],"")</f>
        <v>0.7529490318272869</v>
      </c>
      <c r="AT8" s="6">
        <f>IFERROR(Cleandata_table3[[#This Row],[Population 16 years and over not in labor force]]/Cleandata_table3[[#This Row],[Population 16 years and over]],"")</f>
        <v>0.2470509681727131</v>
      </c>
      <c r="AU8" t="str">
        <f>Cleandata_table3[[#This Row],[Neighborhood Name]]&amp; " | " &amp;Cleandata_table3[[#This Row],[Neighborhood Subtype]]</f>
        <v>Haller Lake | Northwest</v>
      </c>
      <c r="AV8" t="s">
        <v>107</v>
      </c>
    </row>
    <row r="9" spans="1:48" x14ac:dyDescent="0.35">
      <c r="A9" t="s">
        <v>115</v>
      </c>
      <c r="B9" t="s">
        <v>105</v>
      </c>
      <c r="C9" t="s">
        <v>116</v>
      </c>
      <c r="D9" s="12">
        <v>10485</v>
      </c>
      <c r="E9" s="12">
        <v>2784</v>
      </c>
      <c r="F9" s="12">
        <v>7654</v>
      </c>
      <c r="G9" s="12">
        <v>343</v>
      </c>
      <c r="H9" s="12">
        <v>12716</v>
      </c>
      <c r="I9" s="12">
        <v>252</v>
      </c>
      <c r="J9" s="12">
        <v>601</v>
      </c>
      <c r="K9" s="12">
        <v>83</v>
      </c>
      <c r="L9" s="12">
        <v>141</v>
      </c>
      <c r="M9" s="12">
        <v>144</v>
      </c>
      <c r="N9" s="12">
        <v>112</v>
      </c>
      <c r="O9" s="12">
        <v>11383</v>
      </c>
      <c r="P9" s="12">
        <v>3294</v>
      </c>
      <c r="Q9" s="12">
        <v>136</v>
      </c>
      <c r="R9" s="12">
        <v>30</v>
      </c>
      <c r="S9" s="12">
        <v>0</v>
      </c>
      <c r="T9" s="12">
        <v>36</v>
      </c>
      <c r="U9" s="12">
        <v>70</v>
      </c>
      <c r="V9" s="12">
        <v>8116</v>
      </c>
      <c r="W9" s="12">
        <v>690</v>
      </c>
      <c r="X9" s="12">
        <v>6776</v>
      </c>
      <c r="Y9" s="12">
        <v>278</v>
      </c>
      <c r="Z9" s="12">
        <v>1333</v>
      </c>
      <c r="AA9" s="12">
        <v>7119</v>
      </c>
      <c r="AB9" s="12">
        <v>444</v>
      </c>
      <c r="AC9" s="12">
        <v>950</v>
      </c>
      <c r="AD9" s="12">
        <v>246</v>
      </c>
      <c r="AE9" s="12">
        <v>343</v>
      </c>
      <c r="AF9" s="12">
        <v>166</v>
      </c>
      <c r="AG9" s="8">
        <f>IFERROR(Cleandata_table3[[#This Row],[Population 20 to 64 years below poverty]]/Cleandata_table3[[#This Row],[Population 20 to 64 years for whom poverty status is determined]],"")</f>
        <v>8.5017249876786591E-2</v>
      </c>
      <c r="AH9" s="8">
        <f>IFERROR(Cleandata_table3[[#This Row],[Population 20 to 64 years unemployed]]/Cleandata_table3[[#This Row],[Population 20 to 64 years in civilian labor force]],"")</f>
        <v>4.8180924287118974E-2</v>
      </c>
      <c r="AI9" s="8">
        <f>IFERROR(Cleandata_table3[[#This Row],[Population 20 to 64 years in civilian labor force]]/Cleandata_table3[[#This Row],[Population 20 to 64 years for whom poverty status is determined]],"")</f>
        <v>0.87715623459832426</v>
      </c>
      <c r="AJ9" s="10">
        <f>IFERROR(Cleandata_table3[[#This Row],[Families with income in the past 12 months below poverty level]]/Cleandata_table3[[#This Row],[Families for whom poverty status is determined]],"")</f>
        <v>4.1287188828172436E-2</v>
      </c>
      <c r="AK9" s="8">
        <f>IFERROR(Cleandata_table3[[#This Row],[Population 20 to 64 years employed]]/Cleandata_table3[[#This Row],[Population 20 to 64 years for whom poverty status is determined]],"")</f>
        <v>0.83489403647116811</v>
      </c>
      <c r="AL9" s="8">
        <f>IFERROR(Cleandata_table3[[#This Row],[Population 20 to 64 years not in labor force]]/Cleandata_table3[[#This Row],[Population 20 to 64 years for whom poverty status is determined]],"")</f>
        <v>0.11705273533760473</v>
      </c>
      <c r="AM9" s="10">
        <f>IFERROR(Cleandata_table3[[#This Row],[Married-couple family with related children of the householder under 18 years below poverty]]/Cleandata_table3[[#This Row],[Families for whom poverty status is determined]],"")</f>
        <v>9.1074681238615673E-3</v>
      </c>
      <c r="AN9" s="10">
        <f>IFERROR(Cleandata_table3[[#This Row],[Married-couple family without related children of the householder under 18 years below poverty]]/Cleandata_table3[[#This Row],[Families for whom poverty status is determined]],"")</f>
        <v>0</v>
      </c>
      <c r="AO9" s="10">
        <f>IFERROR(Cleandata_table3[[#This Row],[Single parents with related children of the householder under 18 years below poverty]]/Cleandata_table3[[#This Row],[Families for whom poverty status is determined]],"")</f>
        <v>1.092896174863388E-2</v>
      </c>
      <c r="AP9" s="10">
        <f>IFERROR(Cleandata_table3[[#This Row],[Other family below poverty]]/Cleandata_table3[[#This Row],[Families for whom poverty status is determined]],"")</f>
        <v>2.1250758955676987E-2</v>
      </c>
      <c r="AQ9" s="6">
        <f>IFERROR(Cleandata_table3[[#This Row],[Population 16 years and over in civilian labor force unemployed]]/Cleandata_table3[[#This Row],[Population 16 years and over in civilian labor force]],"")</f>
        <v>4.4813169584530965E-2</v>
      </c>
      <c r="AR9" s="6">
        <f>IFERROR((Cleandata_table3[[#This Row],[Population 16 years and over in civilian labor force]]-Cleandata_table3[[#This Row],[Population 16 years and over in civilian labor force unemployed]])/Cleandata_table3[[#This Row],[Population 16 years and over]],"")</f>
        <v>0.69728183118741061</v>
      </c>
      <c r="AS9" s="6">
        <f>IFERROR(Cleandata_table3[[#This Row],[Population 16 years and over in civilian labor force]]/Cleandata_table3[[#This Row],[Population 16 years and over]],"")</f>
        <v>0.72999523128278498</v>
      </c>
      <c r="AT9" s="6">
        <f>IFERROR(Cleandata_table3[[#This Row],[Population 16 years and over not in labor force]]/Cleandata_table3[[#This Row],[Population 16 years and over]],"")</f>
        <v>0.26552217453505006</v>
      </c>
      <c r="AU9" t="str">
        <f>Cleandata_table3[[#This Row],[Neighborhood Name]]&amp; " | " &amp;Cleandata_table3[[#This Row],[Neighborhood Subtype]]</f>
        <v>North Beach/Blue Ridge | Ballard</v>
      </c>
      <c r="AV9" t="s">
        <v>107</v>
      </c>
    </row>
    <row r="10" spans="1:48" x14ac:dyDescent="0.35">
      <c r="A10" t="s">
        <v>117</v>
      </c>
      <c r="B10" t="s">
        <v>105</v>
      </c>
      <c r="C10" t="s">
        <v>116</v>
      </c>
      <c r="D10" s="12">
        <v>12384</v>
      </c>
      <c r="E10" s="12">
        <v>2446</v>
      </c>
      <c r="F10" s="12">
        <v>9938</v>
      </c>
      <c r="G10" s="12">
        <v>173</v>
      </c>
      <c r="H10" s="12">
        <v>14552</v>
      </c>
      <c r="I10" s="12">
        <v>402</v>
      </c>
      <c r="J10" s="12">
        <v>522</v>
      </c>
      <c r="K10" s="12">
        <v>48</v>
      </c>
      <c r="L10" s="12">
        <v>159</v>
      </c>
      <c r="M10" s="12">
        <v>258</v>
      </c>
      <c r="N10" s="12">
        <v>107</v>
      </c>
      <c r="O10" s="12">
        <v>13056</v>
      </c>
      <c r="P10" s="12">
        <v>3363</v>
      </c>
      <c r="Q10" s="12">
        <v>107</v>
      </c>
      <c r="R10" s="12">
        <v>0</v>
      </c>
      <c r="S10" s="12">
        <v>0</v>
      </c>
      <c r="T10" s="12">
        <v>55</v>
      </c>
      <c r="U10" s="12">
        <v>52</v>
      </c>
      <c r="V10" s="12">
        <v>10946</v>
      </c>
      <c r="W10" s="12">
        <v>750</v>
      </c>
      <c r="X10" s="12">
        <v>9445</v>
      </c>
      <c r="Y10" s="12">
        <v>307</v>
      </c>
      <c r="Z10" s="12">
        <v>1496</v>
      </c>
      <c r="AA10" s="12">
        <v>9609</v>
      </c>
      <c r="AB10" s="12">
        <v>376</v>
      </c>
      <c r="AC10" s="12">
        <v>1337</v>
      </c>
      <c r="AD10" s="12">
        <v>374</v>
      </c>
      <c r="AE10" s="12">
        <v>164</v>
      </c>
      <c r="AF10" s="12">
        <v>69</v>
      </c>
      <c r="AG10" s="8">
        <f>IFERROR(Cleandata_table3[[#This Row],[Population 20 to 64 years below poverty]]/Cleandata_table3[[#This Row],[Population 20 to 64 years for whom poverty status is determined]],"")</f>
        <v>6.8518180157135025E-2</v>
      </c>
      <c r="AH10" s="8">
        <f>IFERROR(Cleandata_table3[[#This Row],[Population 20 to 64 years unemployed]]/Cleandata_table3[[#This Row],[Population 20 to 64 years in civilian labor force]],"")</f>
        <v>1.7067332708918723E-2</v>
      </c>
      <c r="AI10" s="8">
        <f>IFERROR(Cleandata_table3[[#This Row],[Population 20 to 64 years in civilian labor force]]/Cleandata_table3[[#This Row],[Population 20 to 64 years for whom poverty status is determined]],"")</f>
        <v>0.87785492417321398</v>
      </c>
      <c r="AJ10" s="10">
        <f>IFERROR(Cleandata_table3[[#This Row],[Families with income in the past 12 months below poverty level]]/Cleandata_table3[[#This Row],[Families for whom poverty status is determined]],"")</f>
        <v>3.1816830211121021E-2</v>
      </c>
      <c r="AK10" s="8">
        <f>IFERROR(Cleandata_table3[[#This Row],[Population 20 to 64 years employed]]/Cleandata_table3[[#This Row],[Population 20 to 64 years for whom poverty status is determined]],"")</f>
        <v>0.86287228211218714</v>
      </c>
      <c r="AL10" s="8">
        <f>IFERROR(Cleandata_table3[[#This Row],[Population 20 to 64 years not in labor force]]/Cleandata_table3[[#This Row],[Population 20 to 64 years for whom poverty status is determined]],"")</f>
        <v>0.12214507582678603</v>
      </c>
      <c r="AM10" s="10">
        <f>IFERROR(Cleandata_table3[[#This Row],[Married-couple family with related children of the householder under 18 years below poverty]]/Cleandata_table3[[#This Row],[Families for whom poverty status is determined]],"")</f>
        <v>0</v>
      </c>
      <c r="AN10" s="10">
        <f>IFERROR(Cleandata_table3[[#This Row],[Married-couple family without related children of the householder under 18 years below poverty]]/Cleandata_table3[[#This Row],[Families for whom poverty status is determined]],"")</f>
        <v>0</v>
      </c>
      <c r="AO10" s="10">
        <f>IFERROR(Cleandata_table3[[#This Row],[Single parents with related children of the householder under 18 years below poverty]]/Cleandata_table3[[#This Row],[Families for whom poverty status is determined]],"")</f>
        <v>1.6354445435622957E-2</v>
      </c>
      <c r="AP10" s="10">
        <f>IFERROR(Cleandata_table3[[#This Row],[Other family below poverty]]/Cleandata_table3[[#This Row],[Families for whom poverty status is determined]],"")</f>
        <v>1.5462384775498068E-2</v>
      </c>
      <c r="AQ10" s="6">
        <f>IFERROR(Cleandata_table3[[#This Row],[Population 16 years and over in civilian labor force unemployed]]/Cleandata_table3[[#This Row],[Population 16 years and over in civilian labor force]],"")</f>
        <v>1.7407929160796941E-2</v>
      </c>
      <c r="AR10" s="6">
        <f>IFERROR((Cleandata_table3[[#This Row],[Population 16 years and over in civilian labor force]]-Cleandata_table3[[#This Row],[Population 16 years and over in civilian labor force unemployed]])/Cleandata_table3[[#This Row],[Population 16 years and over]],"")</f>
        <v>0.78851744186046513</v>
      </c>
      <c r="AS10" s="6">
        <f>IFERROR(Cleandata_table3[[#This Row],[Population 16 years and over in civilian labor force]]/Cleandata_table3[[#This Row],[Population 16 years and over]],"")</f>
        <v>0.80248708010335912</v>
      </c>
      <c r="AT10" s="6">
        <f>IFERROR(Cleandata_table3[[#This Row],[Population 16 years and over not in labor force]]/Cleandata_table3[[#This Row],[Population 16 years and over]],"")</f>
        <v>0.19751291989664083</v>
      </c>
      <c r="AU10" t="str">
        <f>Cleandata_table3[[#This Row],[Neighborhood Name]]&amp; " | " &amp;Cleandata_table3[[#This Row],[Neighborhood Subtype]]</f>
        <v>Whittier Heights | Ballard</v>
      </c>
      <c r="AV10" t="s">
        <v>107</v>
      </c>
    </row>
    <row r="11" spans="1:48" x14ac:dyDescent="0.35">
      <c r="A11" t="s">
        <v>118</v>
      </c>
      <c r="B11" t="s">
        <v>105</v>
      </c>
      <c r="C11" t="s">
        <v>116</v>
      </c>
      <c r="D11" s="12">
        <v>13443</v>
      </c>
      <c r="E11" s="12">
        <v>3746</v>
      </c>
      <c r="F11" s="12">
        <v>9638</v>
      </c>
      <c r="G11" s="12">
        <v>307</v>
      </c>
      <c r="H11" s="12">
        <v>16151</v>
      </c>
      <c r="I11" s="12">
        <v>221</v>
      </c>
      <c r="J11" s="12">
        <v>404</v>
      </c>
      <c r="K11" s="12">
        <v>172</v>
      </c>
      <c r="L11" s="12">
        <v>67</v>
      </c>
      <c r="M11" s="12">
        <v>164</v>
      </c>
      <c r="N11" s="12">
        <v>110</v>
      </c>
      <c r="O11" s="12">
        <v>15013</v>
      </c>
      <c r="P11" s="12">
        <v>3652</v>
      </c>
      <c r="Q11" s="12">
        <v>95</v>
      </c>
      <c r="R11" s="12">
        <v>11</v>
      </c>
      <c r="S11" s="12">
        <v>14</v>
      </c>
      <c r="T11" s="12">
        <v>70</v>
      </c>
      <c r="U11" s="12">
        <v>0</v>
      </c>
      <c r="V11" s="12">
        <v>10227</v>
      </c>
      <c r="W11" s="12">
        <v>323</v>
      </c>
      <c r="X11" s="12">
        <v>8635</v>
      </c>
      <c r="Y11" s="12">
        <v>152</v>
      </c>
      <c r="Z11" s="12">
        <v>1138</v>
      </c>
      <c r="AA11" s="12">
        <v>8883</v>
      </c>
      <c r="AB11" s="12">
        <v>152</v>
      </c>
      <c r="AC11" s="12">
        <v>1285</v>
      </c>
      <c r="AD11" s="12">
        <v>171</v>
      </c>
      <c r="AE11" s="12">
        <v>248</v>
      </c>
      <c r="AF11" s="12">
        <v>0</v>
      </c>
      <c r="AG11" s="8">
        <f>IFERROR(Cleandata_table3[[#This Row],[Population 20 to 64 years below poverty]]/Cleandata_table3[[#This Row],[Population 20 to 64 years for whom poverty status is determined]],"")</f>
        <v>3.1583064437273885E-2</v>
      </c>
      <c r="AH11" s="8">
        <f>IFERROR(Cleandata_table3[[#This Row],[Population 20 to 64 years unemployed]]/Cleandata_table3[[#This Row],[Population 20 to 64 years in civilian labor force]],"")</f>
        <v>2.7918496003602387E-2</v>
      </c>
      <c r="AI11" s="8">
        <f>IFERROR(Cleandata_table3[[#This Row],[Population 20 to 64 years in civilian labor force]]/Cleandata_table3[[#This Row],[Population 20 to 64 years for whom poverty status is determined]],"")</f>
        <v>0.86858316221765919</v>
      </c>
      <c r="AJ11" s="10">
        <f>IFERROR(Cleandata_table3[[#This Row],[Families with income in the past 12 months below poverty level]]/Cleandata_table3[[#This Row],[Families for whom poverty status is determined]],"")</f>
        <v>2.6013143483023003E-2</v>
      </c>
      <c r="AK11" s="8">
        <f>IFERROR(Cleandata_table3[[#This Row],[Population 20 to 64 years employed]]/Cleandata_table3[[#This Row],[Population 20 to 64 years for whom poverty status is determined]],"")</f>
        <v>0.84433362667448908</v>
      </c>
      <c r="AL11" s="8">
        <f>IFERROR(Cleandata_table3[[#This Row],[Population 20 to 64 years not in labor force]]/Cleandata_table3[[#This Row],[Population 20 to 64 years for whom poverty status is determined]],"")</f>
        <v>0.12564779505231249</v>
      </c>
      <c r="AM11" s="10">
        <f>IFERROR(Cleandata_table3[[#This Row],[Married-couple family with related children of the householder under 18 years below poverty]]/Cleandata_table3[[#This Row],[Families for whom poverty status is determined]],"")</f>
        <v>3.0120481927710845E-3</v>
      </c>
      <c r="AN11" s="10">
        <f>IFERROR(Cleandata_table3[[#This Row],[Married-couple family without related children of the householder under 18 years below poverty]]/Cleandata_table3[[#This Row],[Families for whom poverty status is determined]],"")</f>
        <v>3.8335158817086527E-3</v>
      </c>
      <c r="AO11" s="10">
        <f>IFERROR(Cleandata_table3[[#This Row],[Single parents with related children of the householder under 18 years below poverty]]/Cleandata_table3[[#This Row],[Families for whom poverty status is determined]],"")</f>
        <v>1.9167579408543262E-2</v>
      </c>
      <c r="AP11" s="10">
        <f>IFERROR(Cleandata_table3[[#This Row],[Other family below poverty]]/Cleandata_table3[[#This Row],[Families for whom poverty status is determined]],"")</f>
        <v>0</v>
      </c>
      <c r="AQ11" s="6">
        <f>IFERROR(Cleandata_table3[[#This Row],[Population 16 years and over in civilian labor force unemployed]]/Cleandata_table3[[#This Row],[Population 16 years and over in civilian labor force]],"")</f>
        <v>3.1853081552189251E-2</v>
      </c>
      <c r="AR11" s="6">
        <f>IFERROR((Cleandata_table3[[#This Row],[Population 16 years and over in civilian labor force]]-Cleandata_table3[[#This Row],[Population 16 years and over in civilian labor force unemployed]])/Cleandata_table3[[#This Row],[Population 16 years and over]],"")</f>
        <v>0.69411589674923757</v>
      </c>
      <c r="AS11" s="6">
        <f>IFERROR(Cleandata_table3[[#This Row],[Population 16 years and over in civilian labor force]]/Cleandata_table3[[#This Row],[Population 16 years and over]],"")</f>
        <v>0.7169530610726772</v>
      </c>
      <c r="AT11" s="6">
        <f>IFERROR(Cleandata_table3[[#This Row],[Population 16 years and over not in labor force]]/Cleandata_table3[[#This Row],[Population 16 years and over]],"")</f>
        <v>0.27865803764040764</v>
      </c>
      <c r="AU11" t="str">
        <f>Cleandata_table3[[#This Row],[Neighborhood Name]]&amp; " | " &amp;Cleandata_table3[[#This Row],[Neighborhood Subtype]]</f>
        <v>Sunset Hill/Loyal Heights | Ballard</v>
      </c>
      <c r="AV11" t="s">
        <v>107</v>
      </c>
    </row>
    <row r="12" spans="1:48" x14ac:dyDescent="0.35">
      <c r="A12" t="s">
        <v>116</v>
      </c>
      <c r="B12" t="s">
        <v>105</v>
      </c>
      <c r="C12" t="s">
        <v>116</v>
      </c>
      <c r="D12" s="12">
        <v>10105</v>
      </c>
      <c r="E12" s="12">
        <v>1484</v>
      </c>
      <c r="F12" s="12">
        <v>8621</v>
      </c>
      <c r="G12" s="12">
        <v>557</v>
      </c>
      <c r="H12" s="12">
        <v>11165</v>
      </c>
      <c r="I12" s="12">
        <v>470</v>
      </c>
      <c r="J12" s="12">
        <v>261</v>
      </c>
      <c r="K12" s="12">
        <v>110</v>
      </c>
      <c r="L12" s="12">
        <v>62</v>
      </c>
      <c r="M12" s="12">
        <v>106</v>
      </c>
      <c r="N12" s="12">
        <v>23</v>
      </c>
      <c r="O12" s="12">
        <v>10133</v>
      </c>
      <c r="P12" s="12">
        <v>1641</v>
      </c>
      <c r="Q12" s="12">
        <v>23</v>
      </c>
      <c r="R12" s="12">
        <v>0</v>
      </c>
      <c r="S12" s="12">
        <v>0</v>
      </c>
      <c r="T12" s="12">
        <v>23</v>
      </c>
      <c r="U12" s="12">
        <v>0</v>
      </c>
      <c r="V12" s="12">
        <v>9111</v>
      </c>
      <c r="W12" s="12">
        <v>651</v>
      </c>
      <c r="X12" s="12">
        <v>7915</v>
      </c>
      <c r="Y12" s="12">
        <v>188</v>
      </c>
      <c r="Z12" s="12">
        <v>1032</v>
      </c>
      <c r="AA12" s="12">
        <v>8472</v>
      </c>
      <c r="AB12" s="12">
        <v>449</v>
      </c>
      <c r="AC12" s="12">
        <v>639</v>
      </c>
      <c r="AD12" s="12">
        <v>202</v>
      </c>
      <c r="AE12" s="12">
        <v>557</v>
      </c>
      <c r="AF12" s="12">
        <v>261</v>
      </c>
      <c r="AG12" s="8">
        <f>IFERROR(Cleandata_table3[[#This Row],[Population 20 to 64 years below poverty]]/Cleandata_table3[[#This Row],[Population 20 to 64 years for whom poverty status is determined]],"")</f>
        <v>7.1452090879157062E-2</v>
      </c>
      <c r="AH12" s="8">
        <f>IFERROR(Cleandata_table3[[#This Row],[Population 20 to 64 years unemployed]]/Cleandata_table3[[#This Row],[Population 20 to 64 years in civilian labor force]],"")</f>
        <v>6.5745986779981114E-2</v>
      </c>
      <c r="AI12" s="8">
        <f>IFERROR(Cleandata_table3[[#This Row],[Population 20 to 64 years in civilian labor force]]/Cleandata_table3[[#This Row],[Population 20 to 64 years for whom poverty status is determined]],"")</f>
        <v>0.92986499835363845</v>
      </c>
      <c r="AJ12" s="10">
        <f>IFERROR(Cleandata_table3[[#This Row],[Families with income in the past 12 months below poverty level]]/Cleandata_table3[[#This Row],[Families for whom poverty status is determined]],"")</f>
        <v>1.4015843997562462E-2</v>
      </c>
      <c r="AK12" s="8">
        <f>IFERROR(Cleandata_table3[[#This Row],[Population 20 to 64 years employed]]/Cleandata_table3[[#This Row],[Population 20 to 64 years for whom poverty status is determined]],"")</f>
        <v>0.86873010646471294</v>
      </c>
      <c r="AL12" s="8">
        <f>IFERROR(Cleandata_table3[[#This Row],[Population 20 to 64 years not in labor force]]/Cleandata_table3[[#This Row],[Population 20 to 64 years for whom poverty status is determined]],"")</f>
        <v>7.0135001646361536E-2</v>
      </c>
      <c r="AM12" s="10">
        <f>IFERROR(Cleandata_table3[[#This Row],[Married-couple family with related children of the householder under 18 years below poverty]]/Cleandata_table3[[#This Row],[Families for whom poverty status is determined]],"")</f>
        <v>0</v>
      </c>
      <c r="AN12" s="10">
        <f>IFERROR(Cleandata_table3[[#This Row],[Married-couple family without related children of the householder under 18 years below poverty]]/Cleandata_table3[[#This Row],[Families for whom poverty status is determined]],"")</f>
        <v>0</v>
      </c>
      <c r="AO12" s="10">
        <f>IFERROR(Cleandata_table3[[#This Row],[Single parents with related children of the householder under 18 years below poverty]]/Cleandata_table3[[#This Row],[Families for whom poverty status is determined]],"")</f>
        <v>1.4015843997562462E-2</v>
      </c>
      <c r="AP12" s="10">
        <f>IFERROR(Cleandata_table3[[#This Row],[Other family below poverty]]/Cleandata_table3[[#This Row],[Families for whom poverty status is determined]],"")</f>
        <v>0</v>
      </c>
      <c r="AQ12" s="6">
        <f>IFERROR(Cleandata_table3[[#This Row],[Population 16 years and over in civilian labor force unemployed]]/Cleandata_table3[[#This Row],[Population 16 years and over in civilian labor force]],"")</f>
        <v>6.4609674051734137E-2</v>
      </c>
      <c r="AR12" s="6">
        <f>IFERROR((Cleandata_table3[[#This Row],[Population 16 years and over in civilian labor force]]-Cleandata_table3[[#This Row],[Population 16 years and over in civilian labor force unemployed]])/Cleandata_table3[[#This Row],[Population 16 years and over]],"")</f>
        <v>0.79802078179119251</v>
      </c>
      <c r="AS12" s="6">
        <f>IFERROR(Cleandata_table3[[#This Row],[Population 16 years and over in civilian labor force]]/Cleandata_table3[[#This Row],[Population 16 years and over]],"")</f>
        <v>0.85314200890648195</v>
      </c>
      <c r="AT12" s="6">
        <f>IFERROR(Cleandata_table3[[#This Row],[Population 16 years and over not in labor force]]/Cleandata_table3[[#This Row],[Population 16 years and over]],"")</f>
        <v>0.14685799109351805</v>
      </c>
      <c r="AU12" t="str">
        <f>Cleandata_table3[[#This Row],[Neighborhood Name]]&amp; " | " &amp;Cleandata_table3[[#This Row],[Neighborhood Subtype]]</f>
        <v>Ballard | Ballard</v>
      </c>
      <c r="AV12" t="s">
        <v>107</v>
      </c>
    </row>
    <row r="13" spans="1:48" x14ac:dyDescent="0.35">
      <c r="A13" t="s">
        <v>119</v>
      </c>
      <c r="B13" t="s">
        <v>105</v>
      </c>
      <c r="C13" t="s">
        <v>120</v>
      </c>
      <c r="D13" s="12">
        <v>17122</v>
      </c>
      <c r="E13" s="12">
        <v>2510</v>
      </c>
      <c r="F13" s="12">
        <v>14584</v>
      </c>
      <c r="G13" s="12">
        <v>434</v>
      </c>
      <c r="H13" s="12">
        <v>18373</v>
      </c>
      <c r="I13" s="12">
        <v>577</v>
      </c>
      <c r="J13" s="12">
        <v>517</v>
      </c>
      <c r="K13" s="12">
        <v>162</v>
      </c>
      <c r="L13" s="12">
        <v>226</v>
      </c>
      <c r="M13" s="12">
        <v>300</v>
      </c>
      <c r="N13" s="12">
        <v>125</v>
      </c>
      <c r="O13" s="12">
        <v>16466</v>
      </c>
      <c r="P13" s="12">
        <v>3288</v>
      </c>
      <c r="Q13" s="12">
        <v>133</v>
      </c>
      <c r="R13" s="12">
        <v>5</v>
      </c>
      <c r="S13" s="12">
        <v>63</v>
      </c>
      <c r="T13" s="12">
        <v>57</v>
      </c>
      <c r="U13" s="12">
        <v>8</v>
      </c>
      <c r="V13" s="12">
        <v>15320</v>
      </c>
      <c r="W13" s="12">
        <v>772</v>
      </c>
      <c r="X13" s="12">
        <v>13709</v>
      </c>
      <c r="Y13" s="12">
        <v>346</v>
      </c>
      <c r="Z13" s="12">
        <v>1907</v>
      </c>
      <c r="AA13" s="12">
        <v>14113</v>
      </c>
      <c r="AB13" s="12">
        <v>407</v>
      </c>
      <c r="AC13" s="12">
        <v>1179</v>
      </c>
      <c r="AD13" s="12">
        <v>365</v>
      </c>
      <c r="AE13" s="12">
        <v>404</v>
      </c>
      <c r="AF13" s="12">
        <v>61</v>
      </c>
      <c r="AG13" s="8">
        <f>IFERROR(Cleandata_table3[[#This Row],[Population 20 to 64 years below poverty]]/Cleandata_table3[[#This Row],[Population 20 to 64 years for whom poverty status is determined]],"")</f>
        <v>5.0391644908616189E-2</v>
      </c>
      <c r="AH13" s="8">
        <f>IFERROR(Cleandata_table3[[#This Row],[Population 20 to 64 years unemployed]]/Cleandata_table3[[#This Row],[Population 20 to 64 years in civilian labor force]],"")</f>
        <v>2.8626089421101113E-2</v>
      </c>
      <c r="AI13" s="8">
        <f>IFERROR(Cleandata_table3[[#This Row],[Population 20 to 64 years in civilian labor force]]/Cleandata_table3[[#This Row],[Population 20 to 64 years for whom poverty status is determined]],"")</f>
        <v>0.92121409921671016</v>
      </c>
      <c r="AJ13" s="10">
        <f>IFERROR(Cleandata_table3[[#This Row],[Families with income in the past 12 months below poverty level]]/Cleandata_table3[[#This Row],[Families for whom poverty status is determined]],"")</f>
        <v>4.0450121654501216E-2</v>
      </c>
      <c r="AK13" s="8">
        <f>IFERROR(Cleandata_table3[[#This Row],[Population 20 to 64 years employed]]/Cleandata_table3[[#This Row],[Population 20 to 64 years for whom poverty status is determined]],"")</f>
        <v>0.89484334203655358</v>
      </c>
      <c r="AL13" s="8">
        <f>IFERROR(Cleandata_table3[[#This Row],[Population 20 to 64 years not in labor force]]/Cleandata_table3[[#This Row],[Population 20 to 64 years for whom poverty status is determined]],"")</f>
        <v>7.6958224543080933E-2</v>
      </c>
      <c r="AM13" s="10">
        <f>IFERROR(Cleandata_table3[[#This Row],[Married-couple family with related children of the householder under 18 years below poverty]]/Cleandata_table3[[#This Row],[Families for whom poverty status is determined]],"")</f>
        <v>1.5206812652068127E-3</v>
      </c>
      <c r="AN13" s="10">
        <f>IFERROR(Cleandata_table3[[#This Row],[Married-couple family without related children of the householder under 18 years below poverty]]/Cleandata_table3[[#This Row],[Families for whom poverty status is determined]],"")</f>
        <v>1.916058394160584E-2</v>
      </c>
      <c r="AO13" s="10">
        <f>IFERROR(Cleandata_table3[[#This Row],[Single parents with related children of the householder under 18 years below poverty]]/Cleandata_table3[[#This Row],[Families for whom poverty status is determined]],"")</f>
        <v>1.7335766423357664E-2</v>
      </c>
      <c r="AP13" s="10">
        <f>IFERROR(Cleandata_table3[[#This Row],[Other family below poverty]]/Cleandata_table3[[#This Row],[Families for whom poverty status is determined]],"")</f>
        <v>2.4330900243309003E-3</v>
      </c>
      <c r="AQ13" s="6">
        <f>IFERROR(Cleandata_table3[[#This Row],[Population 16 years and over in civilian labor force unemployed]]/Cleandata_table3[[#This Row],[Population 16 years and over in civilian labor force]],"")</f>
        <v>2.9758639605046627E-2</v>
      </c>
      <c r="AR13" s="6">
        <f>IFERROR((Cleandata_table3[[#This Row],[Population 16 years and over in civilian labor force]]-Cleandata_table3[[#This Row],[Population 16 years and over in civilian labor force unemployed]])/Cleandata_table3[[#This Row],[Population 16 years and over]],"")</f>
        <v>0.82642214694545035</v>
      </c>
      <c r="AS13" s="6">
        <f>IFERROR(Cleandata_table3[[#This Row],[Population 16 years and over in civilian labor force]]/Cleandata_table3[[#This Row],[Population 16 years and over]],"")</f>
        <v>0.85176965307791142</v>
      </c>
      <c r="AT13" s="6">
        <f>IFERROR(Cleandata_table3[[#This Row],[Population 16 years and over not in labor force]]/Cleandata_table3[[#This Row],[Population 16 years and over]],"")</f>
        <v>0.14659502394580073</v>
      </c>
      <c r="AU13" t="str">
        <f>Cleandata_table3[[#This Row],[Neighborhood Name]]&amp; " | " &amp;Cleandata_table3[[#This Row],[Neighborhood Subtype]]</f>
        <v>Fremont | Lake Union</v>
      </c>
      <c r="AV13" t="s">
        <v>107</v>
      </c>
    </row>
    <row r="14" spans="1:48" x14ac:dyDescent="0.35">
      <c r="A14" t="s">
        <v>121</v>
      </c>
      <c r="B14" t="s">
        <v>105</v>
      </c>
      <c r="C14" t="s">
        <v>120</v>
      </c>
      <c r="D14" s="12">
        <v>16349</v>
      </c>
      <c r="E14" s="12">
        <v>3213</v>
      </c>
      <c r="F14" s="12">
        <v>13136</v>
      </c>
      <c r="G14" s="12">
        <v>532</v>
      </c>
      <c r="H14" s="12">
        <v>18422</v>
      </c>
      <c r="I14" s="12">
        <v>1407</v>
      </c>
      <c r="J14" s="12">
        <v>836</v>
      </c>
      <c r="K14" s="12">
        <v>200</v>
      </c>
      <c r="L14" s="12">
        <v>697</v>
      </c>
      <c r="M14" s="12">
        <v>501</v>
      </c>
      <c r="N14" s="12">
        <v>199</v>
      </c>
      <c r="O14" s="12">
        <v>14582</v>
      </c>
      <c r="P14" s="12">
        <v>3166</v>
      </c>
      <c r="Q14" s="12">
        <v>110</v>
      </c>
      <c r="R14" s="12">
        <v>12</v>
      </c>
      <c r="S14" s="12">
        <v>30</v>
      </c>
      <c r="T14" s="12">
        <v>29</v>
      </c>
      <c r="U14" s="12">
        <v>39</v>
      </c>
      <c r="V14" s="12">
        <v>14327</v>
      </c>
      <c r="W14" s="12">
        <v>2057</v>
      </c>
      <c r="X14" s="12">
        <v>11961</v>
      </c>
      <c r="Y14" s="12">
        <v>1043</v>
      </c>
      <c r="Z14" s="12">
        <v>3840</v>
      </c>
      <c r="AA14" s="12">
        <v>12404</v>
      </c>
      <c r="AB14" s="12">
        <v>1199</v>
      </c>
      <c r="AC14" s="12">
        <v>1923</v>
      </c>
      <c r="AD14" s="12">
        <v>858</v>
      </c>
      <c r="AE14" s="12">
        <v>443</v>
      </c>
      <c r="AF14" s="12">
        <v>156</v>
      </c>
      <c r="AG14" s="8">
        <f>IFERROR(Cleandata_table3[[#This Row],[Population 20 to 64 years below poverty]]/Cleandata_table3[[#This Row],[Population 20 to 64 years for whom poverty status is determined]],"")</f>
        <v>0.1435750680533259</v>
      </c>
      <c r="AH14" s="8">
        <f>IFERROR(Cleandata_table3[[#This Row],[Population 20 to 64 years unemployed]]/Cleandata_table3[[#This Row],[Population 20 to 64 years in civilian labor force]],"")</f>
        <v>3.5714285714285712E-2</v>
      </c>
      <c r="AI14" s="8">
        <f>IFERROR(Cleandata_table3[[#This Row],[Population 20 to 64 years in civilian labor force]]/Cleandata_table3[[#This Row],[Population 20 to 64 years for whom poverty status is determined]],"")</f>
        <v>0.86577790186361414</v>
      </c>
      <c r="AJ14" s="10">
        <f>IFERROR(Cleandata_table3[[#This Row],[Families with income in the past 12 months below poverty level]]/Cleandata_table3[[#This Row],[Families for whom poverty status is determined]],"")</f>
        <v>3.474415666456096E-2</v>
      </c>
      <c r="AK14" s="8">
        <f>IFERROR(Cleandata_table3[[#This Row],[Population 20 to 64 years employed]]/Cleandata_table3[[#This Row],[Population 20 to 64 years for whom poverty status is determined]],"")</f>
        <v>0.83485726251134218</v>
      </c>
      <c r="AL14" s="8">
        <f>IFERROR(Cleandata_table3[[#This Row],[Population 20 to 64 years not in labor force]]/Cleandata_table3[[#This Row],[Population 20 to 64 years for whom poverty status is determined]],"")</f>
        <v>0.13422209813638583</v>
      </c>
      <c r="AM14" s="10">
        <f>IFERROR(Cleandata_table3[[#This Row],[Married-couple family with related children of the householder under 18 years below poverty]]/Cleandata_table3[[#This Row],[Families for whom poverty status is determined]],"")</f>
        <v>3.7902716361339229E-3</v>
      </c>
      <c r="AN14" s="10">
        <f>IFERROR(Cleandata_table3[[#This Row],[Married-couple family without related children of the householder under 18 years below poverty]]/Cleandata_table3[[#This Row],[Families for whom poverty status is determined]],"")</f>
        <v>9.4756790903348081E-3</v>
      </c>
      <c r="AO14" s="10">
        <f>IFERROR(Cleandata_table3[[#This Row],[Single parents with related children of the householder under 18 years below poverty]]/Cleandata_table3[[#This Row],[Families for whom poverty status is determined]],"")</f>
        <v>9.1598231206569802E-3</v>
      </c>
      <c r="AP14" s="10">
        <f>IFERROR(Cleandata_table3[[#This Row],[Other family below poverty]]/Cleandata_table3[[#This Row],[Families for whom poverty status is determined]],"")</f>
        <v>1.2318382817435249E-2</v>
      </c>
      <c r="AQ14" s="6">
        <f>IFERROR(Cleandata_table3[[#This Row],[Population 16 years and over in civilian labor force unemployed]]/Cleandata_table3[[#This Row],[Population 16 years and over in civilian labor force]],"")</f>
        <v>4.0499390986601706E-2</v>
      </c>
      <c r="AR14" s="6">
        <f>IFERROR((Cleandata_table3[[#This Row],[Population 16 years and over in civilian labor force]]-Cleandata_table3[[#This Row],[Population 16 years and over in civilian labor force unemployed]])/Cleandata_table3[[#This Row],[Population 16 years and over]],"")</f>
        <v>0.77093400207963791</v>
      </c>
      <c r="AS14" s="6">
        <f>IFERROR(Cleandata_table3[[#This Row],[Population 16 years and over in civilian labor force]]/Cleandata_table3[[#This Row],[Population 16 years and over]],"")</f>
        <v>0.80347421860664259</v>
      </c>
      <c r="AT14" s="6">
        <f>IFERROR(Cleandata_table3[[#This Row],[Population 16 years and over not in labor force]]/Cleandata_table3[[#This Row],[Population 16 years and over]],"")</f>
        <v>0.19652578139335738</v>
      </c>
      <c r="AU14" t="str">
        <f>Cleandata_table3[[#This Row],[Neighborhood Name]]&amp; " | " &amp;Cleandata_table3[[#This Row],[Neighborhood Subtype]]</f>
        <v>Wallingford | Lake Union</v>
      </c>
      <c r="AV14" t="s">
        <v>107</v>
      </c>
    </row>
    <row r="15" spans="1:48" x14ac:dyDescent="0.35">
      <c r="A15" t="s">
        <v>122</v>
      </c>
      <c r="B15" t="s">
        <v>105</v>
      </c>
      <c r="C15" t="s">
        <v>120</v>
      </c>
      <c r="D15" s="12">
        <v>27801</v>
      </c>
      <c r="E15" s="12">
        <v>4791</v>
      </c>
      <c r="F15" s="12">
        <v>22974</v>
      </c>
      <c r="G15" s="12">
        <v>1177</v>
      </c>
      <c r="H15" s="12">
        <v>27955</v>
      </c>
      <c r="I15" s="12">
        <v>2026</v>
      </c>
      <c r="J15" s="12">
        <v>794</v>
      </c>
      <c r="K15" s="12">
        <v>531</v>
      </c>
      <c r="L15" s="12">
        <v>839</v>
      </c>
      <c r="M15" s="12">
        <v>699</v>
      </c>
      <c r="N15" s="12">
        <v>111</v>
      </c>
      <c r="O15" s="12">
        <v>22955</v>
      </c>
      <c r="P15" s="12">
        <v>3783</v>
      </c>
      <c r="Q15" s="12">
        <v>152</v>
      </c>
      <c r="R15" s="12">
        <v>19</v>
      </c>
      <c r="S15" s="12">
        <v>75</v>
      </c>
      <c r="T15" s="12">
        <v>58</v>
      </c>
      <c r="U15" s="12">
        <v>0</v>
      </c>
      <c r="V15" s="12">
        <v>24983</v>
      </c>
      <c r="W15" s="12">
        <v>2241</v>
      </c>
      <c r="X15" s="12">
        <v>21352</v>
      </c>
      <c r="Y15" s="12">
        <v>860</v>
      </c>
      <c r="Z15" s="12">
        <v>5000</v>
      </c>
      <c r="AA15" s="12">
        <v>22412</v>
      </c>
      <c r="AB15" s="12">
        <v>1353</v>
      </c>
      <c r="AC15" s="12">
        <v>2535</v>
      </c>
      <c r="AD15" s="12">
        <v>888</v>
      </c>
      <c r="AE15" s="12">
        <v>1060</v>
      </c>
      <c r="AF15" s="12">
        <v>493</v>
      </c>
      <c r="AG15" s="8">
        <f>IFERROR(Cleandata_table3[[#This Row],[Population 20 to 64 years below poverty]]/Cleandata_table3[[#This Row],[Population 20 to 64 years for whom poverty status is determined]],"")</f>
        <v>8.9700996677740868E-2</v>
      </c>
      <c r="AH15" s="8">
        <f>IFERROR(Cleandata_table3[[#This Row],[Population 20 to 64 years unemployed]]/Cleandata_table3[[#This Row],[Population 20 to 64 years in civilian labor force]],"")</f>
        <v>4.7296091379618065E-2</v>
      </c>
      <c r="AI15" s="8">
        <f>IFERROR(Cleandata_table3[[#This Row],[Population 20 to 64 years in civilian labor force]]/Cleandata_table3[[#This Row],[Population 20 to 64 years for whom poverty status is determined]],"")</f>
        <v>0.89709002121442583</v>
      </c>
      <c r="AJ15" s="10">
        <f>IFERROR(Cleandata_table3[[#This Row],[Families with income in the past 12 months below poverty level]]/Cleandata_table3[[#This Row],[Families for whom poverty status is determined]],"")</f>
        <v>4.0179751519957708E-2</v>
      </c>
      <c r="AK15" s="8">
        <f>IFERROR(Cleandata_table3[[#This Row],[Population 20 to 64 years employed]]/Cleandata_table3[[#This Row],[Population 20 to 64 years for whom poverty status is determined]],"")</f>
        <v>0.85466116959532479</v>
      </c>
      <c r="AL15" s="8">
        <f>IFERROR(Cleandata_table3[[#This Row],[Population 20 to 64 years not in labor force]]/Cleandata_table3[[#This Row],[Population 20 to 64 years for whom poverty status is determined]],"")</f>
        <v>0.1014689989192651</v>
      </c>
      <c r="AM15" s="10">
        <f>IFERROR(Cleandata_table3[[#This Row],[Married-couple family with related children of the householder under 18 years below poverty]]/Cleandata_table3[[#This Row],[Families for whom poverty status is determined]],"")</f>
        <v>5.0224689399947136E-3</v>
      </c>
      <c r="AN15" s="10">
        <f>IFERROR(Cleandata_table3[[#This Row],[Married-couple family without related children of the householder under 18 years below poverty]]/Cleandata_table3[[#This Row],[Families for whom poverty status is determined]],"")</f>
        <v>1.9825535289452814E-2</v>
      </c>
      <c r="AO15" s="10">
        <f>IFERROR(Cleandata_table3[[#This Row],[Single parents with related children of the householder under 18 years below poverty]]/Cleandata_table3[[#This Row],[Families for whom poverty status is determined]],"")</f>
        <v>1.5331747290510176E-2</v>
      </c>
      <c r="AP15" s="10">
        <f>IFERROR(Cleandata_table3[[#This Row],[Other family below poverty]]/Cleandata_table3[[#This Row],[Families for whom poverty status is determined]],"")</f>
        <v>0</v>
      </c>
      <c r="AQ15" s="6">
        <f>IFERROR(Cleandata_table3[[#This Row],[Population 16 years and over in civilian labor force unemployed]]/Cleandata_table3[[#This Row],[Population 16 years and over in civilian labor force]],"")</f>
        <v>5.1231827283015584E-2</v>
      </c>
      <c r="AR15" s="6">
        <f>IFERROR((Cleandata_table3[[#This Row],[Population 16 years and over in civilian labor force]]-Cleandata_table3[[#This Row],[Population 16 years and over in civilian labor force unemployed]])/Cleandata_table3[[#This Row],[Population 16 years and over]],"")</f>
        <v>0.7840365454480055</v>
      </c>
      <c r="AS15" s="6">
        <f>IFERROR(Cleandata_table3[[#This Row],[Population 16 years and over in civilian labor force]]/Cleandata_table3[[#This Row],[Population 16 years and over]],"")</f>
        <v>0.82637315204489048</v>
      </c>
      <c r="AT15" s="6">
        <f>IFERROR(Cleandata_table3[[#This Row],[Population 16 years and over not in labor force]]/Cleandata_table3[[#This Row],[Population 16 years and over]],"")</f>
        <v>0.17233193050609691</v>
      </c>
      <c r="AU15" t="str">
        <f>Cleandata_table3[[#This Row],[Neighborhood Name]]&amp; " | " &amp;Cleandata_table3[[#This Row],[Neighborhood Subtype]]</f>
        <v>Cascade/Eastlake | Lake Union</v>
      </c>
      <c r="AV15" t="s">
        <v>107</v>
      </c>
    </row>
    <row r="16" spans="1:48" x14ac:dyDescent="0.35">
      <c r="A16" t="s">
        <v>123</v>
      </c>
      <c r="B16" t="s">
        <v>105</v>
      </c>
      <c r="C16" t="s">
        <v>124</v>
      </c>
      <c r="D16" s="12">
        <v>10603</v>
      </c>
      <c r="E16" s="12">
        <v>3210</v>
      </c>
      <c r="F16" s="12">
        <v>7393</v>
      </c>
      <c r="G16" s="12">
        <v>144</v>
      </c>
      <c r="H16" s="12">
        <v>13750</v>
      </c>
      <c r="I16" s="12">
        <v>285</v>
      </c>
      <c r="J16" s="12">
        <v>128</v>
      </c>
      <c r="K16" s="12">
        <v>177</v>
      </c>
      <c r="L16" s="12">
        <v>79</v>
      </c>
      <c r="M16" s="12">
        <v>281</v>
      </c>
      <c r="N16" s="12">
        <v>146</v>
      </c>
      <c r="O16" s="12">
        <v>12654</v>
      </c>
      <c r="P16" s="12">
        <v>3834</v>
      </c>
      <c r="Q16" s="12">
        <v>77</v>
      </c>
      <c r="R16" s="12">
        <v>9</v>
      </c>
      <c r="S16" s="12">
        <v>58</v>
      </c>
      <c r="T16" s="12">
        <v>10</v>
      </c>
      <c r="U16" s="12">
        <v>0</v>
      </c>
      <c r="V16" s="12">
        <v>7845</v>
      </c>
      <c r="W16" s="12">
        <v>231</v>
      </c>
      <c r="X16" s="12">
        <v>6463</v>
      </c>
      <c r="Y16" s="12">
        <v>84</v>
      </c>
      <c r="Z16" s="12">
        <v>1096</v>
      </c>
      <c r="AA16" s="12">
        <v>6607</v>
      </c>
      <c r="AB16" s="12">
        <v>97</v>
      </c>
      <c r="AC16" s="12">
        <v>1238</v>
      </c>
      <c r="AD16" s="12">
        <v>134</v>
      </c>
      <c r="AE16" s="12">
        <v>144</v>
      </c>
      <c r="AF16" s="12">
        <v>13</v>
      </c>
      <c r="AG16" s="8">
        <f>IFERROR(Cleandata_table3[[#This Row],[Population 20 to 64 years below poverty]]/Cleandata_table3[[#This Row],[Population 20 to 64 years for whom poverty status is determined]],"")</f>
        <v>2.9445506692160613E-2</v>
      </c>
      <c r="AH16" s="8">
        <f>IFERROR(Cleandata_table3[[#This Row],[Population 20 to 64 years unemployed]]/Cleandata_table3[[#This Row],[Population 20 to 64 years in civilian labor force]],"")</f>
        <v>2.1795065839261388E-2</v>
      </c>
      <c r="AI16" s="8">
        <f>IFERROR(Cleandata_table3[[#This Row],[Population 20 to 64 years in civilian labor force]]/Cleandata_table3[[#This Row],[Population 20 to 64 years for whom poverty status is determined]],"")</f>
        <v>0.84219247928616958</v>
      </c>
      <c r="AJ16" s="10">
        <f>IFERROR(Cleandata_table3[[#This Row],[Families with income in the past 12 months below poverty level]]/Cleandata_table3[[#This Row],[Families for whom poverty status is determined]],"")</f>
        <v>2.0083463745435577E-2</v>
      </c>
      <c r="AK16" s="8">
        <f>IFERROR(Cleandata_table3[[#This Row],[Population 20 to 64 years employed]]/Cleandata_table3[[#This Row],[Population 20 to 64 years for whom poverty status is determined]],"")</f>
        <v>0.82383683875079672</v>
      </c>
      <c r="AL16" s="8">
        <f>IFERROR(Cleandata_table3[[#This Row],[Population 20 to 64 years not in labor force]]/Cleandata_table3[[#This Row],[Population 20 to 64 years for whom poverty status is determined]],"")</f>
        <v>0.15780752071383047</v>
      </c>
      <c r="AM16" s="10">
        <f>IFERROR(Cleandata_table3[[#This Row],[Married-couple family with related children of the householder under 18 years below poverty]]/Cleandata_table3[[#This Row],[Families for whom poverty status is determined]],"")</f>
        <v>2.3474178403755869E-3</v>
      </c>
      <c r="AN16" s="10">
        <f>IFERROR(Cleandata_table3[[#This Row],[Married-couple family without related children of the householder under 18 years below poverty]]/Cleandata_table3[[#This Row],[Families for whom poverty status is determined]],"")</f>
        <v>1.5127803860198226E-2</v>
      </c>
      <c r="AO16" s="10">
        <f>IFERROR(Cleandata_table3[[#This Row],[Single parents with related children of the householder under 18 years below poverty]]/Cleandata_table3[[#This Row],[Families for whom poverty status is determined]],"")</f>
        <v>2.6082420448617634E-3</v>
      </c>
      <c r="AP16" s="10">
        <f>IFERROR(Cleandata_table3[[#This Row],[Other family below poverty]]/Cleandata_table3[[#This Row],[Families for whom poverty status is determined]],"")</f>
        <v>0</v>
      </c>
      <c r="AQ16" s="6">
        <f>IFERROR(Cleandata_table3[[#This Row],[Population 16 years and over in civilian labor force unemployed]]/Cleandata_table3[[#This Row],[Population 16 years and over in civilian labor force]],"")</f>
        <v>1.9477884485323955E-2</v>
      </c>
      <c r="AR16" s="6">
        <f>IFERROR((Cleandata_table3[[#This Row],[Population 16 years and over in civilian labor force]]-Cleandata_table3[[#This Row],[Population 16 years and over in civilian labor force unemployed]])/Cleandata_table3[[#This Row],[Population 16 years and over]],"")</f>
        <v>0.68367443176459497</v>
      </c>
      <c r="AS16" s="6">
        <f>IFERROR(Cleandata_table3[[#This Row],[Population 16 years and over in civilian labor force]]/Cleandata_table3[[#This Row],[Population 16 years and over]],"")</f>
        <v>0.69725549372819018</v>
      </c>
      <c r="AT16" s="6">
        <f>IFERROR(Cleandata_table3[[#This Row],[Population 16 years and over not in labor force]]/Cleandata_table3[[#This Row],[Population 16 years and over]],"")</f>
        <v>0.30274450627180988</v>
      </c>
      <c r="AU16" t="str">
        <f>Cleandata_table3[[#This Row],[Neighborhood Name]]&amp; " | " &amp;Cleandata_table3[[#This Row],[Neighborhood Subtype]]</f>
        <v>Magnolia | Magnolia/Queen Anne</v>
      </c>
      <c r="AV16" t="s">
        <v>107</v>
      </c>
    </row>
    <row r="17" spans="1:48" x14ac:dyDescent="0.35">
      <c r="A17" t="s">
        <v>125</v>
      </c>
      <c r="B17" t="s">
        <v>105</v>
      </c>
      <c r="C17" t="s">
        <v>124</v>
      </c>
      <c r="D17" s="12">
        <v>10731</v>
      </c>
      <c r="E17" s="12">
        <v>1708</v>
      </c>
      <c r="F17" s="12">
        <v>8956</v>
      </c>
      <c r="G17" s="12">
        <v>308</v>
      </c>
      <c r="H17" s="12">
        <v>11990</v>
      </c>
      <c r="I17" s="12">
        <v>533</v>
      </c>
      <c r="J17" s="12">
        <v>461</v>
      </c>
      <c r="K17" s="12">
        <v>278</v>
      </c>
      <c r="L17" s="12">
        <v>180</v>
      </c>
      <c r="M17" s="12">
        <v>177</v>
      </c>
      <c r="N17" s="12">
        <v>52</v>
      </c>
      <c r="O17" s="12">
        <v>10309</v>
      </c>
      <c r="P17" s="12">
        <v>2568</v>
      </c>
      <c r="Q17" s="12">
        <v>71</v>
      </c>
      <c r="R17" s="12">
        <v>38</v>
      </c>
      <c r="S17" s="12">
        <v>22</v>
      </c>
      <c r="T17" s="12">
        <v>11</v>
      </c>
      <c r="U17" s="12">
        <v>0</v>
      </c>
      <c r="V17" s="12">
        <v>9405</v>
      </c>
      <c r="W17" s="12">
        <v>819</v>
      </c>
      <c r="X17" s="12">
        <v>8228</v>
      </c>
      <c r="Y17" s="12">
        <v>411</v>
      </c>
      <c r="Z17" s="12">
        <v>1681</v>
      </c>
      <c r="AA17" s="12">
        <v>8519</v>
      </c>
      <c r="AB17" s="12">
        <v>507</v>
      </c>
      <c r="AC17" s="12">
        <v>886</v>
      </c>
      <c r="AD17" s="12">
        <v>312</v>
      </c>
      <c r="AE17" s="12">
        <v>291</v>
      </c>
      <c r="AF17" s="12">
        <v>96</v>
      </c>
      <c r="AG17" s="8">
        <f>IFERROR(Cleandata_table3[[#This Row],[Population 20 to 64 years below poverty]]/Cleandata_table3[[#This Row],[Population 20 to 64 years for whom poverty status is determined]],"")</f>
        <v>8.7081339712918662E-2</v>
      </c>
      <c r="AH17" s="8">
        <f>IFERROR(Cleandata_table3[[#This Row],[Population 20 to 64 years unemployed]]/Cleandata_table3[[#This Row],[Population 20 to 64 years in civilian labor force]],"")</f>
        <v>3.415893884258716E-2</v>
      </c>
      <c r="AI17" s="8">
        <f>IFERROR(Cleandata_table3[[#This Row],[Population 20 to 64 years in civilian labor force]]/Cleandata_table3[[#This Row],[Population 20 to 64 years for whom poverty status is determined]],"")</f>
        <v>0.90579479000531637</v>
      </c>
      <c r="AJ17" s="10">
        <f>IFERROR(Cleandata_table3[[#This Row],[Families with income in the past 12 months below poverty level]]/Cleandata_table3[[#This Row],[Families for whom poverty status is determined]],"")</f>
        <v>2.764797507788162E-2</v>
      </c>
      <c r="AK17" s="8">
        <f>IFERROR(Cleandata_table3[[#This Row],[Population 20 to 64 years employed]]/Cleandata_table3[[#This Row],[Population 20 to 64 years for whom poverty status is determined]],"")</f>
        <v>0.87485380116959066</v>
      </c>
      <c r="AL17" s="8">
        <f>IFERROR(Cleandata_table3[[#This Row],[Population 20 to 64 years not in labor force]]/Cleandata_table3[[#This Row],[Population 20 to 64 years for whom poverty status is determined]],"")</f>
        <v>9.4205209994683681E-2</v>
      </c>
      <c r="AM17" s="10">
        <f>IFERROR(Cleandata_table3[[#This Row],[Married-couple family with related children of the householder under 18 years below poverty]]/Cleandata_table3[[#This Row],[Families for whom poverty status is determined]],"")</f>
        <v>1.4797507788161994E-2</v>
      </c>
      <c r="AN17" s="10">
        <f>IFERROR(Cleandata_table3[[#This Row],[Married-couple family without related children of the householder under 18 years below poverty]]/Cleandata_table3[[#This Row],[Families for whom poverty status is determined]],"")</f>
        <v>8.5669781931464167E-3</v>
      </c>
      <c r="AO17" s="10">
        <f>IFERROR(Cleandata_table3[[#This Row],[Single parents with related children of the householder under 18 years below poverty]]/Cleandata_table3[[#This Row],[Families for whom poverty status is determined]],"")</f>
        <v>4.2834890965732083E-3</v>
      </c>
      <c r="AP17" s="10">
        <f>IFERROR(Cleandata_table3[[#This Row],[Other family below poverty]]/Cleandata_table3[[#This Row],[Families for whom poverty status is determined]],"")</f>
        <v>0</v>
      </c>
      <c r="AQ17" s="6">
        <f>IFERROR(Cleandata_table3[[#This Row],[Population 16 years and over in civilian labor force unemployed]]/Cleandata_table3[[#This Row],[Population 16 years and over in civilian labor force]],"")</f>
        <v>3.4390352836087539E-2</v>
      </c>
      <c r="AR17" s="6">
        <f>IFERROR((Cleandata_table3[[#This Row],[Population 16 years and over in civilian labor force]]-Cleandata_table3[[#This Row],[Population 16 years and over in civilian labor force unemployed]])/Cleandata_table3[[#This Row],[Population 16 years and over]],"")</f>
        <v>0.80588947907930297</v>
      </c>
      <c r="AS17" s="6">
        <f>IFERROR(Cleandata_table3[[#This Row],[Population 16 years and over in civilian labor force]]/Cleandata_table3[[#This Row],[Population 16 years and over]],"")</f>
        <v>0.83459137079489332</v>
      </c>
      <c r="AT17" s="6">
        <f>IFERROR(Cleandata_table3[[#This Row],[Population 16 years and over not in labor force]]/Cleandata_table3[[#This Row],[Population 16 years and over]],"")</f>
        <v>0.15916503587736464</v>
      </c>
      <c r="AU17" t="str">
        <f>Cleandata_table3[[#This Row],[Neighborhood Name]]&amp; " | " &amp;Cleandata_table3[[#This Row],[Neighborhood Subtype]]</f>
        <v>Interbay | Magnolia/Queen Anne</v>
      </c>
      <c r="AV17" t="s">
        <v>107</v>
      </c>
    </row>
    <row r="18" spans="1:48" x14ac:dyDescent="0.35">
      <c r="A18" t="s">
        <v>126</v>
      </c>
      <c r="B18" t="s">
        <v>105</v>
      </c>
      <c r="C18" t="s">
        <v>124</v>
      </c>
      <c r="D18" s="12">
        <v>41543</v>
      </c>
      <c r="E18" s="12">
        <v>8781</v>
      </c>
      <c r="F18" s="12">
        <v>32709</v>
      </c>
      <c r="G18" s="12">
        <v>1251</v>
      </c>
      <c r="H18" s="12">
        <v>43869</v>
      </c>
      <c r="I18" s="12">
        <v>2011</v>
      </c>
      <c r="J18" s="12">
        <v>1109</v>
      </c>
      <c r="K18" s="12">
        <v>403</v>
      </c>
      <c r="L18" s="12">
        <v>491</v>
      </c>
      <c r="M18" s="12">
        <v>744</v>
      </c>
      <c r="N18" s="12">
        <v>488</v>
      </c>
      <c r="O18" s="12">
        <v>38623</v>
      </c>
      <c r="P18" s="12">
        <v>7914</v>
      </c>
      <c r="Q18" s="12">
        <v>246</v>
      </c>
      <c r="R18" s="12">
        <v>0</v>
      </c>
      <c r="S18" s="12">
        <v>44</v>
      </c>
      <c r="T18" s="12">
        <v>67</v>
      </c>
      <c r="U18" s="12">
        <v>135</v>
      </c>
      <c r="V18" s="12">
        <v>34389</v>
      </c>
      <c r="W18" s="12">
        <v>2515</v>
      </c>
      <c r="X18" s="12">
        <v>29745</v>
      </c>
      <c r="Y18" s="12">
        <v>798</v>
      </c>
      <c r="Z18" s="12">
        <v>5246</v>
      </c>
      <c r="AA18" s="12">
        <v>30778</v>
      </c>
      <c r="AB18" s="12">
        <v>965</v>
      </c>
      <c r="AC18" s="12">
        <v>3558</v>
      </c>
      <c r="AD18" s="12">
        <v>1550</v>
      </c>
      <c r="AE18" s="12">
        <v>1033</v>
      </c>
      <c r="AF18" s="12">
        <v>167</v>
      </c>
      <c r="AG18" s="8">
        <f>IFERROR(Cleandata_table3[[#This Row],[Population 20 to 64 years below poverty]]/Cleandata_table3[[#This Row],[Population 20 to 64 years for whom poverty status is determined]],"")</f>
        <v>7.313385094070779E-2</v>
      </c>
      <c r="AH18" s="8">
        <f>IFERROR(Cleandata_table3[[#This Row],[Population 20 to 64 years unemployed]]/Cleandata_table3[[#This Row],[Population 20 to 64 years in civilian labor force]],"")</f>
        <v>3.3562934563649359E-2</v>
      </c>
      <c r="AI18" s="8">
        <f>IFERROR(Cleandata_table3[[#This Row],[Population 20 to 64 years in civilian labor force]]/Cleandata_table3[[#This Row],[Population 20 to 64 years for whom poverty status is determined]],"")</f>
        <v>0.89499549274477308</v>
      </c>
      <c r="AJ18" s="10">
        <f>IFERROR(Cleandata_table3[[#This Row],[Families with income in the past 12 months below poverty level]]/Cleandata_table3[[#This Row],[Families for whom poverty status is determined]],"")</f>
        <v>3.1084154662623199E-2</v>
      </c>
      <c r="AK18" s="8">
        <f>IFERROR(Cleandata_table3[[#This Row],[Population 20 to 64 years employed]]/Cleandata_table3[[#This Row],[Population 20 to 64 years for whom poverty status is determined]],"")</f>
        <v>0.86495681758701914</v>
      </c>
      <c r="AL18" s="8">
        <f>IFERROR(Cleandata_table3[[#This Row],[Population 20 to 64 years not in labor force]]/Cleandata_table3[[#This Row],[Population 20 to 64 years for whom poverty status is determined]],"")</f>
        <v>0.10346331675826573</v>
      </c>
      <c r="AM18" s="10">
        <f>IFERROR(Cleandata_table3[[#This Row],[Married-couple family with related children of the householder under 18 years below poverty]]/Cleandata_table3[[#This Row],[Families for whom poverty status is determined]],"")</f>
        <v>0</v>
      </c>
      <c r="AN18" s="10">
        <f>IFERROR(Cleandata_table3[[#This Row],[Married-couple family without related children of the householder under 18 years below poverty]]/Cleandata_table3[[#This Row],[Families for whom poverty status is determined]],"")</f>
        <v>5.5597675006317914E-3</v>
      </c>
      <c r="AO18" s="10">
        <f>IFERROR(Cleandata_table3[[#This Row],[Single parents with related children of the householder under 18 years below poverty]]/Cleandata_table3[[#This Row],[Families for whom poverty status is determined]],"")</f>
        <v>8.4660096032347747E-3</v>
      </c>
      <c r="AP18" s="10">
        <f>IFERROR(Cleandata_table3[[#This Row],[Other family below poverty]]/Cleandata_table3[[#This Row],[Families for whom poverty status is determined]],"")</f>
        <v>1.7058377558756634E-2</v>
      </c>
      <c r="AQ18" s="6">
        <f>IFERROR(Cleandata_table3[[#This Row],[Population 16 years and over in civilian labor force unemployed]]/Cleandata_table3[[#This Row],[Population 16 years and over in civilian labor force]],"")</f>
        <v>3.8246354214436395E-2</v>
      </c>
      <c r="AR18" s="6">
        <f>IFERROR((Cleandata_table3[[#This Row],[Population 16 years and over in civilian labor force]]-Cleandata_table3[[#This Row],[Population 16 years and over in civilian labor force unemployed]])/Cleandata_table3[[#This Row],[Population 16 years and over]],"")</f>
        <v>0.75723948679681297</v>
      </c>
      <c r="AS18" s="6">
        <f>IFERROR(Cleandata_table3[[#This Row],[Population 16 years and over in civilian labor force]]/Cleandata_table3[[#This Row],[Population 16 years and over]],"")</f>
        <v>0.78735286329826926</v>
      </c>
      <c r="AT18" s="6">
        <f>IFERROR(Cleandata_table3[[#This Row],[Population 16 years and over not in labor force]]/Cleandata_table3[[#This Row],[Population 16 years and over]],"")</f>
        <v>0.21137135016729652</v>
      </c>
      <c r="AU18" t="str">
        <f>Cleandata_table3[[#This Row],[Neighborhood Name]]&amp; " | " &amp;Cleandata_table3[[#This Row],[Neighborhood Subtype]]</f>
        <v>Queen Anne | Magnolia/Queen Anne</v>
      </c>
      <c r="AV18" t="s">
        <v>107</v>
      </c>
    </row>
    <row r="19" spans="1:48" x14ac:dyDescent="0.35">
      <c r="A19" t="s">
        <v>127</v>
      </c>
      <c r="B19" t="s">
        <v>105</v>
      </c>
      <c r="C19" t="s">
        <v>128</v>
      </c>
      <c r="D19" s="12">
        <v>11126</v>
      </c>
      <c r="E19" s="12">
        <v>2202</v>
      </c>
      <c r="F19" s="12">
        <v>8904</v>
      </c>
      <c r="G19" s="12">
        <v>246</v>
      </c>
      <c r="H19" s="12">
        <v>11281</v>
      </c>
      <c r="I19" s="12">
        <v>587</v>
      </c>
      <c r="J19" s="12">
        <v>609</v>
      </c>
      <c r="K19" s="12">
        <v>286</v>
      </c>
      <c r="L19" s="12">
        <v>238</v>
      </c>
      <c r="M19" s="12">
        <v>207</v>
      </c>
      <c r="N19" s="12">
        <v>183</v>
      </c>
      <c r="O19" s="12">
        <v>9171</v>
      </c>
      <c r="P19" s="12">
        <v>2076</v>
      </c>
      <c r="Q19" s="12">
        <v>30</v>
      </c>
      <c r="R19" s="12">
        <v>0</v>
      </c>
      <c r="S19" s="12">
        <v>30</v>
      </c>
      <c r="T19" s="12">
        <v>0</v>
      </c>
      <c r="U19" s="12">
        <v>0</v>
      </c>
      <c r="V19" s="12">
        <v>9986</v>
      </c>
      <c r="W19" s="12">
        <v>1068</v>
      </c>
      <c r="X19" s="12">
        <v>8382</v>
      </c>
      <c r="Y19" s="12">
        <v>402</v>
      </c>
      <c r="Z19" s="12">
        <v>2110</v>
      </c>
      <c r="AA19" s="12">
        <v>8628</v>
      </c>
      <c r="AB19" s="12">
        <v>470</v>
      </c>
      <c r="AC19" s="12">
        <v>1338</v>
      </c>
      <c r="AD19" s="12">
        <v>598</v>
      </c>
      <c r="AE19" s="12">
        <v>246</v>
      </c>
      <c r="AF19" s="12">
        <v>68</v>
      </c>
      <c r="AG19" s="8">
        <f>IFERROR(Cleandata_table3[[#This Row],[Population 20 to 64 years below poverty]]/Cleandata_table3[[#This Row],[Population 20 to 64 years for whom poverty status is determined]],"")</f>
        <v>0.10694972962147006</v>
      </c>
      <c r="AH19" s="8">
        <f>IFERROR(Cleandata_table3[[#This Row],[Population 20 to 64 years unemployed]]/Cleandata_table3[[#This Row],[Population 20 to 64 years in civilian labor force]],"")</f>
        <v>2.851182197496523E-2</v>
      </c>
      <c r="AI19" s="8">
        <f>IFERROR(Cleandata_table3[[#This Row],[Population 20 to 64 years in civilian labor force]]/Cleandata_table3[[#This Row],[Population 20 to 64 years for whom poverty status is determined]],"")</f>
        <v>0.86400961345884242</v>
      </c>
      <c r="AJ19" s="10">
        <f>IFERROR(Cleandata_table3[[#This Row],[Families with income in the past 12 months below poverty level]]/Cleandata_table3[[#This Row],[Families for whom poverty status is determined]],"")</f>
        <v>1.4450867052023121E-2</v>
      </c>
      <c r="AK19" s="8">
        <f>IFERROR(Cleandata_table3[[#This Row],[Population 20 to 64 years employed]]/Cleandata_table3[[#This Row],[Population 20 to 64 years for whom poverty status is determined]],"")</f>
        <v>0.83937512517524537</v>
      </c>
      <c r="AL19" s="8">
        <f>IFERROR(Cleandata_table3[[#This Row],[Population 20 to 64 years not in labor force]]/Cleandata_table3[[#This Row],[Population 20 to 64 years for whom poverty status is determined]],"")</f>
        <v>0.13398758261566193</v>
      </c>
      <c r="AM19" s="10">
        <f>IFERROR(Cleandata_table3[[#This Row],[Married-couple family with related children of the householder under 18 years below poverty]]/Cleandata_table3[[#This Row],[Families for whom poverty status is determined]],"")</f>
        <v>0</v>
      </c>
      <c r="AN19" s="10">
        <f>IFERROR(Cleandata_table3[[#This Row],[Married-couple family without related children of the householder under 18 years below poverty]]/Cleandata_table3[[#This Row],[Families for whom poverty status is determined]],"")</f>
        <v>1.4450867052023121E-2</v>
      </c>
      <c r="AO19" s="10">
        <f>IFERROR(Cleandata_table3[[#This Row],[Single parents with related children of the householder under 18 years below poverty]]/Cleandata_table3[[#This Row],[Families for whom poverty status is determined]],"")</f>
        <v>0</v>
      </c>
      <c r="AP19" s="10">
        <f>IFERROR(Cleandata_table3[[#This Row],[Other family below poverty]]/Cleandata_table3[[#This Row],[Families for whom poverty status is determined]],"")</f>
        <v>0</v>
      </c>
      <c r="AQ19" s="6">
        <f>IFERROR(Cleandata_table3[[#This Row],[Population 16 years and over in civilian labor force unemployed]]/Cleandata_table3[[#This Row],[Population 16 years and over in civilian labor force]],"")</f>
        <v>2.7628032345013476E-2</v>
      </c>
      <c r="AR19" s="6">
        <f>IFERROR((Cleandata_table3[[#This Row],[Population 16 years and over in civilian labor force]]-Cleandata_table3[[#This Row],[Population 16 years and over in civilian labor force unemployed]])/Cleandata_table3[[#This Row],[Population 16 years and over]],"")</f>
        <v>0.7781772424950566</v>
      </c>
      <c r="AS19" s="6">
        <f>IFERROR(Cleandata_table3[[#This Row],[Population 16 years and over in civilian labor force]]/Cleandata_table3[[#This Row],[Population 16 years and over]],"")</f>
        <v>0.80028761459644082</v>
      </c>
      <c r="AT19" s="6">
        <f>IFERROR(Cleandata_table3[[#This Row],[Population 16 years and over not in labor force]]/Cleandata_table3[[#This Row],[Population 16 years and over]],"")</f>
        <v>0.19791479417580443</v>
      </c>
      <c r="AU19" t="str">
        <f>Cleandata_table3[[#This Row],[Neighborhood Name]]&amp; " | " &amp;Cleandata_table3[[#This Row],[Neighborhood Subtype]]</f>
        <v>Belltown | Downtown</v>
      </c>
      <c r="AV19" t="s">
        <v>107</v>
      </c>
    </row>
    <row r="20" spans="1:48" x14ac:dyDescent="0.35">
      <c r="A20" t="s">
        <v>129</v>
      </c>
      <c r="B20" t="s">
        <v>105</v>
      </c>
      <c r="C20" t="s">
        <v>128</v>
      </c>
      <c r="D20" s="12">
        <v>6155</v>
      </c>
      <c r="E20" s="12">
        <v>2053</v>
      </c>
      <c r="F20" s="12">
        <v>4057</v>
      </c>
      <c r="G20" s="12">
        <v>154</v>
      </c>
      <c r="H20" s="12">
        <v>6163</v>
      </c>
      <c r="I20" s="12">
        <v>537</v>
      </c>
      <c r="J20" s="12">
        <v>525</v>
      </c>
      <c r="K20" s="12">
        <v>130</v>
      </c>
      <c r="L20" s="12">
        <v>115</v>
      </c>
      <c r="M20" s="12">
        <v>131</v>
      </c>
      <c r="N20" s="12">
        <v>97</v>
      </c>
      <c r="O20" s="12">
        <v>4628</v>
      </c>
      <c r="P20" s="12">
        <v>950</v>
      </c>
      <c r="Q20" s="12">
        <v>37</v>
      </c>
      <c r="R20" s="12">
        <v>0</v>
      </c>
      <c r="S20" s="12">
        <v>37</v>
      </c>
      <c r="T20" s="12">
        <v>0</v>
      </c>
      <c r="U20" s="12">
        <v>0</v>
      </c>
      <c r="V20" s="12">
        <v>5006</v>
      </c>
      <c r="W20" s="12">
        <v>737</v>
      </c>
      <c r="X20" s="12">
        <v>3670</v>
      </c>
      <c r="Y20" s="12">
        <v>79</v>
      </c>
      <c r="Z20" s="12">
        <v>1535</v>
      </c>
      <c r="AA20" s="12">
        <v>3802</v>
      </c>
      <c r="AB20" s="12">
        <v>170</v>
      </c>
      <c r="AC20" s="12">
        <v>1159</v>
      </c>
      <c r="AD20" s="12">
        <v>567</v>
      </c>
      <c r="AE20" s="12">
        <v>132</v>
      </c>
      <c r="AF20" s="12">
        <v>91</v>
      </c>
      <c r="AG20" s="8">
        <f>IFERROR(Cleandata_table3[[#This Row],[Population 20 to 64 years below poverty]]/Cleandata_table3[[#This Row],[Population 20 to 64 years for whom poverty status is determined]],"")</f>
        <v>0.1472233320015981</v>
      </c>
      <c r="AH20" s="8">
        <f>IFERROR(Cleandata_table3[[#This Row],[Population 20 to 64 years unemployed]]/Cleandata_table3[[#This Row],[Population 20 to 64 years in civilian labor force]],"")</f>
        <v>3.4718569174118884E-2</v>
      </c>
      <c r="AI20" s="8">
        <f>IFERROR(Cleandata_table3[[#This Row],[Population 20 to 64 years in civilian labor force]]/Cleandata_table3[[#This Row],[Population 20 to 64 years for whom poverty status is determined]],"")</f>
        <v>0.75948861366360365</v>
      </c>
      <c r="AJ20" s="10">
        <f>IFERROR(Cleandata_table3[[#This Row],[Families with income in the past 12 months below poverty level]]/Cleandata_table3[[#This Row],[Families for whom poverty status is determined]],"")</f>
        <v>3.8947368421052633E-2</v>
      </c>
      <c r="AK20" s="8">
        <f>IFERROR(Cleandata_table3[[#This Row],[Population 20 to 64 years employed]]/Cleandata_table3[[#This Row],[Population 20 to 64 years for whom poverty status is determined]],"")</f>
        <v>0.73312025569316819</v>
      </c>
      <c r="AL20" s="8">
        <f>IFERROR(Cleandata_table3[[#This Row],[Population 20 to 64 years not in labor force]]/Cleandata_table3[[#This Row],[Population 20 to 64 years for whom poverty status is determined]],"")</f>
        <v>0.23152217339192968</v>
      </c>
      <c r="AM20" s="10">
        <f>IFERROR(Cleandata_table3[[#This Row],[Married-couple family with related children of the householder under 18 years below poverty]]/Cleandata_table3[[#This Row],[Families for whom poverty status is determined]],"")</f>
        <v>0</v>
      </c>
      <c r="AN20" s="10">
        <f>IFERROR(Cleandata_table3[[#This Row],[Married-couple family without related children of the householder under 18 years below poverty]]/Cleandata_table3[[#This Row],[Families for whom poverty status is determined]],"")</f>
        <v>3.8947368421052633E-2</v>
      </c>
      <c r="AO20" s="10">
        <f>IFERROR(Cleandata_table3[[#This Row],[Single parents with related children of the householder under 18 years below poverty]]/Cleandata_table3[[#This Row],[Families for whom poverty status is determined]],"")</f>
        <v>0</v>
      </c>
      <c r="AP20" s="10">
        <f>IFERROR(Cleandata_table3[[#This Row],[Other family below poverty]]/Cleandata_table3[[#This Row],[Families for whom poverty status is determined]],"")</f>
        <v>0</v>
      </c>
      <c r="AQ20" s="6">
        <f>IFERROR(Cleandata_table3[[#This Row],[Population 16 years and over in civilian labor force unemployed]]/Cleandata_table3[[#This Row],[Population 16 years and over in civilian labor force]],"")</f>
        <v>3.7959083066305153E-2</v>
      </c>
      <c r="AR20" s="6">
        <f>IFERROR((Cleandata_table3[[#This Row],[Population 16 years and over in civilian labor force]]-Cleandata_table3[[#This Row],[Population 16 years and over in civilian labor force unemployed]])/Cleandata_table3[[#This Row],[Population 16 years and over]],"")</f>
        <v>0.63411860276198218</v>
      </c>
      <c r="AS20" s="6">
        <f>IFERROR(Cleandata_table3[[#This Row],[Population 16 years and over in civilian labor force]]/Cleandata_table3[[#This Row],[Population 16 years and over]],"")</f>
        <v>0.65913891145410231</v>
      </c>
      <c r="AT20" s="6">
        <f>IFERROR(Cleandata_table3[[#This Row],[Population 16 years and over not in labor force]]/Cleandata_table3[[#This Row],[Population 16 years and over]],"")</f>
        <v>0.33354995938261578</v>
      </c>
      <c r="AU20" t="str">
        <f>Cleandata_table3[[#This Row],[Neighborhood Name]]&amp; " | " &amp;Cleandata_table3[[#This Row],[Neighborhood Subtype]]</f>
        <v>Downtown Commercial Core | Downtown</v>
      </c>
      <c r="AV20" t="s">
        <v>107</v>
      </c>
    </row>
    <row r="21" spans="1:48" x14ac:dyDescent="0.35">
      <c r="A21" t="s">
        <v>130</v>
      </c>
      <c r="B21" t="s">
        <v>105</v>
      </c>
      <c r="C21" t="s">
        <v>128</v>
      </c>
      <c r="D21" s="12">
        <v>6171</v>
      </c>
      <c r="E21" s="12">
        <v>2394</v>
      </c>
      <c r="F21" s="12">
        <v>3728</v>
      </c>
      <c r="G21" s="12">
        <v>239</v>
      </c>
      <c r="H21" s="12">
        <v>6507</v>
      </c>
      <c r="I21" s="12">
        <v>745</v>
      </c>
      <c r="J21" s="12">
        <v>1381</v>
      </c>
      <c r="K21" s="12">
        <v>864</v>
      </c>
      <c r="L21" s="12">
        <v>278</v>
      </c>
      <c r="M21" s="12">
        <v>230</v>
      </c>
      <c r="N21" s="12">
        <v>70</v>
      </c>
      <c r="O21" s="12">
        <v>2939</v>
      </c>
      <c r="P21" s="12">
        <v>783</v>
      </c>
      <c r="Q21" s="12">
        <v>295</v>
      </c>
      <c r="R21" s="12">
        <v>0</v>
      </c>
      <c r="S21" s="12">
        <v>221</v>
      </c>
      <c r="T21" s="12">
        <v>55</v>
      </c>
      <c r="U21" s="12">
        <v>19</v>
      </c>
      <c r="V21" s="12">
        <v>4559</v>
      </c>
      <c r="W21" s="12">
        <v>1133</v>
      </c>
      <c r="X21" s="12">
        <v>3252</v>
      </c>
      <c r="Y21" s="12">
        <v>486</v>
      </c>
      <c r="Z21" s="12">
        <v>3568</v>
      </c>
      <c r="AA21" s="12">
        <v>3483</v>
      </c>
      <c r="AB21" s="12">
        <v>544</v>
      </c>
      <c r="AC21" s="12">
        <v>1027</v>
      </c>
      <c r="AD21" s="12">
        <v>589</v>
      </c>
      <c r="AE21" s="12">
        <v>231</v>
      </c>
      <c r="AF21" s="12">
        <v>58</v>
      </c>
      <c r="AG21" s="8">
        <f>IFERROR(Cleandata_table3[[#This Row],[Population 20 to 64 years below poverty]]/Cleandata_table3[[#This Row],[Population 20 to 64 years for whom poverty status is determined]],"")</f>
        <v>0.24851941215178766</v>
      </c>
      <c r="AH21" s="8">
        <f>IFERROR(Cleandata_table3[[#This Row],[Population 20 to 64 years unemployed]]/Cleandata_table3[[#This Row],[Population 20 to 64 years in civilian labor force]],"")</f>
        <v>6.6322136089577946E-2</v>
      </c>
      <c r="AI21" s="8">
        <f>IFERROR(Cleandata_table3[[#This Row],[Population 20 to 64 years in civilian labor force]]/Cleandata_table3[[#This Row],[Population 20 to 64 years for whom poverty status is determined]],"")</f>
        <v>0.76398332967756089</v>
      </c>
      <c r="AJ21" s="10">
        <f>IFERROR(Cleandata_table3[[#This Row],[Families with income in the past 12 months below poverty level]]/Cleandata_table3[[#This Row],[Families for whom poverty status is determined]],"")</f>
        <v>0.37675606641123882</v>
      </c>
      <c r="AK21" s="8">
        <f>IFERROR(Cleandata_table3[[#This Row],[Population 20 to 64 years employed]]/Cleandata_table3[[#This Row],[Population 20 to 64 years for whom poverty status is determined]],"")</f>
        <v>0.71331432331651679</v>
      </c>
      <c r="AL21" s="8">
        <f>IFERROR(Cleandata_table3[[#This Row],[Population 20 to 64 years not in labor force]]/Cleandata_table3[[#This Row],[Population 20 to 64 years for whom poverty status is determined]],"")</f>
        <v>0.22526869927615706</v>
      </c>
      <c r="AM21" s="10">
        <f>IFERROR(Cleandata_table3[[#This Row],[Married-couple family with related children of the householder under 18 years below poverty]]/Cleandata_table3[[#This Row],[Families for whom poverty status is determined]],"")</f>
        <v>0</v>
      </c>
      <c r="AN21" s="10">
        <f>IFERROR(Cleandata_table3[[#This Row],[Married-couple family without related children of the householder under 18 years below poverty]]/Cleandata_table3[[#This Row],[Families for whom poverty status is determined]],"")</f>
        <v>0.28224776500638571</v>
      </c>
      <c r="AO21" s="10">
        <f>IFERROR(Cleandata_table3[[#This Row],[Single parents with related children of the householder under 18 years below poverty]]/Cleandata_table3[[#This Row],[Families for whom poverty status is determined]],"")</f>
        <v>7.0242656449553006E-2</v>
      </c>
      <c r="AP21" s="10">
        <f>IFERROR(Cleandata_table3[[#This Row],[Other family below poverty]]/Cleandata_table3[[#This Row],[Families for whom poverty status is determined]],"")</f>
        <v>2.4265644955300127E-2</v>
      </c>
      <c r="AQ21" s="6">
        <f>IFERROR(Cleandata_table3[[#This Row],[Population 16 years and over in civilian labor force unemployed]]/Cleandata_table3[[#This Row],[Population 16 years and over in civilian labor force]],"")</f>
        <v>6.4109442060085842E-2</v>
      </c>
      <c r="AR21" s="6">
        <f>IFERROR((Cleandata_table3[[#This Row],[Population 16 years and over in civilian labor force]]-Cleandata_table3[[#This Row],[Population 16 years and over in civilian labor force unemployed]])/Cleandata_table3[[#This Row],[Population 16 years and over]],"")</f>
        <v>0.56538648517258139</v>
      </c>
      <c r="AS21" s="6">
        <f>IFERROR(Cleandata_table3[[#This Row],[Population 16 years and over in civilian labor force]]/Cleandata_table3[[#This Row],[Population 16 years and over]],"")</f>
        <v>0.60411602657591967</v>
      </c>
      <c r="AT21" s="6">
        <f>IFERROR(Cleandata_table3[[#This Row],[Population 16 years and over not in labor force]]/Cleandata_table3[[#This Row],[Population 16 years and over]],"")</f>
        <v>0.38794360719494408</v>
      </c>
      <c r="AU21" t="str">
        <f>Cleandata_table3[[#This Row],[Neighborhood Name]]&amp; " | " &amp;Cleandata_table3[[#This Row],[Neighborhood Subtype]]</f>
        <v>Pioneer Square/International District | Downtown</v>
      </c>
      <c r="AV21" t="s">
        <v>107</v>
      </c>
    </row>
    <row r="22" spans="1:48" x14ac:dyDescent="0.35">
      <c r="A22" t="s">
        <v>131</v>
      </c>
      <c r="B22" t="s">
        <v>132</v>
      </c>
      <c r="C22" t="s">
        <v>133</v>
      </c>
      <c r="D22" s="12">
        <v>91517</v>
      </c>
      <c r="E22" s="12">
        <v>24899</v>
      </c>
      <c r="F22" s="12">
        <v>66175</v>
      </c>
      <c r="G22" s="12">
        <v>2963</v>
      </c>
      <c r="H22" s="12">
        <v>107394</v>
      </c>
      <c r="I22" s="12">
        <v>4790</v>
      </c>
      <c r="J22" s="12">
        <v>4205</v>
      </c>
      <c r="K22" s="12">
        <v>2888</v>
      </c>
      <c r="L22" s="12">
        <v>2177</v>
      </c>
      <c r="M22" s="12">
        <v>3163</v>
      </c>
      <c r="N22" s="12">
        <v>1673</v>
      </c>
      <c r="O22" s="12">
        <v>88498</v>
      </c>
      <c r="P22" s="12">
        <v>25525</v>
      </c>
      <c r="Q22" s="12">
        <v>976</v>
      </c>
      <c r="R22" s="12">
        <v>201</v>
      </c>
      <c r="S22" s="12">
        <v>121</v>
      </c>
      <c r="T22" s="12">
        <v>421</v>
      </c>
      <c r="U22" s="12">
        <v>233</v>
      </c>
      <c r="V22" s="12">
        <v>73267</v>
      </c>
      <c r="W22" s="12">
        <v>6201</v>
      </c>
      <c r="X22" s="12">
        <v>59708</v>
      </c>
      <c r="Y22" s="12">
        <v>2159</v>
      </c>
      <c r="Z22" s="12">
        <v>18896</v>
      </c>
      <c r="AA22" s="12">
        <v>62376</v>
      </c>
      <c r="AB22" s="12">
        <v>2983</v>
      </c>
      <c r="AC22" s="12">
        <v>10629</v>
      </c>
      <c r="AD22" s="12">
        <v>3218</v>
      </c>
      <c r="AE22" s="12">
        <v>2668</v>
      </c>
      <c r="AF22" s="12">
        <v>824</v>
      </c>
      <c r="AG22" s="8">
        <f>IFERROR(Cleandata_table3[[#This Row],[Population 20 to 64 years below poverty]]/Cleandata_table3[[#This Row],[Population 20 to 64 years for whom poverty status is determined]],"")</f>
        <v>8.4635647699510014E-2</v>
      </c>
      <c r="AH22" s="8">
        <f>IFERROR(Cleandata_table3[[#This Row],[Population 20 to 64 years unemployed]]/Cleandata_table3[[#This Row],[Population 20 to 64 years in civilian labor force]],"")</f>
        <v>4.2772861356932153E-2</v>
      </c>
      <c r="AI22" s="8">
        <f>IFERROR(Cleandata_table3[[#This Row],[Population 20 to 64 years in civilian labor force]]/Cleandata_table3[[#This Row],[Population 20 to 64 years for whom poverty status is determined]],"")</f>
        <v>0.85135190467741273</v>
      </c>
      <c r="AJ22" s="10">
        <f>IFERROR(Cleandata_table3[[#This Row],[Families with income in the past 12 months below poverty level]]/Cleandata_table3[[#This Row],[Families for whom poverty status is determined]],"")</f>
        <v>3.8237022526934381E-2</v>
      </c>
      <c r="AK22" s="8">
        <f>IFERROR(Cleandata_table3[[#This Row],[Population 20 to 64 years employed]]/Cleandata_table3[[#This Row],[Population 20 to 64 years for whom poverty status is determined]],"")</f>
        <v>0.81493714769268566</v>
      </c>
      <c r="AL22" s="8">
        <f>IFERROR(Cleandata_table3[[#This Row],[Population 20 to 64 years not in labor force]]/Cleandata_table3[[#This Row],[Population 20 to 64 years for whom poverty status is determined]],"")</f>
        <v>0.1450721334297842</v>
      </c>
      <c r="AM22" s="10">
        <f>IFERROR(Cleandata_table3[[#This Row],[Married-couple family with related children of the householder under 18 years below poverty]]/Cleandata_table3[[#This Row],[Families for whom poverty status is determined]],"")</f>
        <v>7.8746327130264446E-3</v>
      </c>
      <c r="AN22" s="10">
        <f>IFERROR(Cleandata_table3[[#This Row],[Married-couple family without related children of the householder under 18 years below poverty]]/Cleandata_table3[[#This Row],[Families for whom poverty status is determined]],"")</f>
        <v>4.7404505386875609E-3</v>
      </c>
      <c r="AO22" s="10">
        <f>IFERROR(Cleandata_table3[[#This Row],[Single parents with related children of the householder under 18 years below poverty]]/Cleandata_table3[[#This Row],[Families for whom poverty status is determined]],"")</f>
        <v>1.6493633692458372E-2</v>
      </c>
      <c r="AP22" s="10">
        <f>IFERROR(Cleandata_table3[[#This Row],[Other family below poverty]]/Cleandata_table3[[#This Row],[Families for whom poverty status is determined]],"")</f>
        <v>9.1283055827619981E-3</v>
      </c>
      <c r="AQ22" s="6">
        <f>IFERROR(Cleandata_table3[[#This Row],[Population 16 years and over in civilian labor force unemployed]]/Cleandata_table3[[#This Row],[Population 16 years and over in civilian labor force]],"")</f>
        <v>4.4775217227049489E-2</v>
      </c>
      <c r="AR22" s="6">
        <f>IFERROR((Cleandata_table3[[#This Row],[Population 16 years and over in civilian labor force]]-Cleandata_table3[[#This Row],[Population 16 years and over in civilian labor force unemployed]])/Cleandata_table3[[#This Row],[Population 16 years and over]],"")</f>
        <v>0.69071320082607601</v>
      </c>
      <c r="AS22" s="6">
        <f>IFERROR(Cleandata_table3[[#This Row],[Population 16 years and over in civilian labor force]]/Cleandata_table3[[#This Row],[Population 16 years and over]],"")</f>
        <v>0.72308969918157284</v>
      </c>
      <c r="AT22" s="6">
        <f>IFERROR(Cleandata_table3[[#This Row],[Population 16 years and over not in labor force]]/Cleandata_table3[[#This Row],[Population 16 years and over]],"")</f>
        <v>0.27206967011593475</v>
      </c>
      <c r="AU22" t="str">
        <f>Cleandata_table3[[#This Row],[Neighborhood Name]]&amp; " | " &amp;Cleandata_table3[[#This Row],[Neighborhood Subtype]]</f>
        <v>Council District 1 | Unknown</v>
      </c>
      <c r="AV22" t="s">
        <v>107</v>
      </c>
    </row>
    <row r="23" spans="1:48" x14ac:dyDescent="0.35">
      <c r="A23" t="s">
        <v>134</v>
      </c>
      <c r="B23" t="s">
        <v>132</v>
      </c>
      <c r="C23" t="s">
        <v>133</v>
      </c>
      <c r="D23" s="12">
        <v>90805</v>
      </c>
      <c r="E23" s="12">
        <v>27715</v>
      </c>
      <c r="F23" s="12">
        <v>63025</v>
      </c>
      <c r="G23" s="12">
        <v>2285</v>
      </c>
      <c r="H23" s="12">
        <v>106089</v>
      </c>
      <c r="I23" s="12">
        <v>7004</v>
      </c>
      <c r="J23" s="12">
        <v>8205</v>
      </c>
      <c r="K23" s="12">
        <v>4502</v>
      </c>
      <c r="L23" s="12">
        <v>2690</v>
      </c>
      <c r="M23" s="12">
        <v>3547</v>
      </c>
      <c r="N23" s="12">
        <v>1597</v>
      </c>
      <c r="O23" s="12">
        <v>78544</v>
      </c>
      <c r="P23" s="12">
        <v>23697</v>
      </c>
      <c r="Q23" s="12">
        <v>2408</v>
      </c>
      <c r="R23" s="12">
        <v>444</v>
      </c>
      <c r="S23" s="12">
        <v>726</v>
      </c>
      <c r="T23" s="12">
        <v>863</v>
      </c>
      <c r="U23" s="12">
        <v>375</v>
      </c>
      <c r="V23" s="12">
        <v>69730</v>
      </c>
      <c r="W23" s="12">
        <v>7751</v>
      </c>
      <c r="X23" s="12">
        <v>55992</v>
      </c>
      <c r="Y23" s="12">
        <v>3162</v>
      </c>
      <c r="Z23" s="12">
        <v>27545</v>
      </c>
      <c r="AA23" s="12">
        <v>57948</v>
      </c>
      <c r="AB23" s="12">
        <v>3946</v>
      </c>
      <c r="AC23" s="12">
        <v>11717</v>
      </c>
      <c r="AD23" s="12">
        <v>3782</v>
      </c>
      <c r="AE23" s="12">
        <v>1956</v>
      </c>
      <c r="AF23" s="12">
        <v>784</v>
      </c>
      <c r="AG23" s="8">
        <f>IFERROR(Cleandata_table3[[#This Row],[Population 20 to 64 years below poverty]]/Cleandata_table3[[#This Row],[Population 20 to 64 years for whom poverty status is determined]],"")</f>
        <v>0.11115732109565467</v>
      </c>
      <c r="AH23" s="8">
        <f>IFERROR(Cleandata_table3[[#This Row],[Population 20 to 64 years unemployed]]/Cleandata_table3[[#This Row],[Population 20 to 64 years in civilian labor force]],"")</f>
        <v>3.3754400496997308E-2</v>
      </c>
      <c r="AI23" s="8">
        <f>IFERROR(Cleandata_table3[[#This Row],[Population 20 to 64 years in civilian labor force]]/Cleandata_table3[[#This Row],[Population 20 to 64 years for whom poverty status is determined]],"")</f>
        <v>0.83103398824035568</v>
      </c>
      <c r="AJ23" s="10">
        <f>IFERROR(Cleandata_table3[[#This Row],[Families with income in the past 12 months below poverty level]]/Cleandata_table3[[#This Row],[Families for whom poverty status is determined]],"")</f>
        <v>0.10161623834240621</v>
      </c>
      <c r="AK23" s="8">
        <f>IFERROR(Cleandata_table3[[#This Row],[Population 20 to 64 years employed]]/Cleandata_table3[[#This Row],[Population 20 to 64 years for whom poverty status is determined]],"")</f>
        <v>0.8029829341746737</v>
      </c>
      <c r="AL23" s="8">
        <f>IFERROR(Cleandata_table3[[#This Row],[Population 20 to 64 years not in labor force]]/Cleandata_table3[[#This Row],[Population 20 to 64 years for whom poverty status is determined]],"")</f>
        <v>0.16803384483005879</v>
      </c>
      <c r="AM23" s="10">
        <f>IFERROR(Cleandata_table3[[#This Row],[Married-couple family with related children of the householder under 18 years below poverty]]/Cleandata_table3[[#This Row],[Families for whom poverty status is determined]],"")</f>
        <v>1.8736548930244335E-2</v>
      </c>
      <c r="AN23" s="10">
        <f>IFERROR(Cleandata_table3[[#This Row],[Married-couple family without related children of the householder under 18 years below poverty]]/Cleandata_table3[[#This Row],[Families for whom poverty status is determined]],"")</f>
        <v>3.0636789467021142E-2</v>
      </c>
      <c r="AO23" s="10">
        <f>IFERROR(Cleandata_table3[[#This Row],[Single parents with related children of the householder under 18 years below poverty]]/Cleandata_table3[[#This Row],[Families for whom poverty status is determined]],"")</f>
        <v>3.6418111997299239E-2</v>
      </c>
      <c r="AP23" s="10">
        <f>IFERROR(Cleandata_table3[[#This Row],[Other family below poverty]]/Cleandata_table3[[#This Row],[Families for whom poverty status is determined]],"")</f>
        <v>1.58247879478415E-2</v>
      </c>
      <c r="AQ23" s="6">
        <f>IFERROR(Cleandata_table3[[#This Row],[Population 16 years and over in civilian labor force unemployed]]/Cleandata_table3[[#This Row],[Population 16 years and over in civilian labor force]],"")</f>
        <v>3.6255454184847283E-2</v>
      </c>
      <c r="AR23" s="6">
        <f>IFERROR((Cleandata_table3[[#This Row],[Population 16 years and over in civilian labor force]]-Cleandata_table3[[#This Row],[Population 16 years and over in civilian labor force unemployed]])/Cleandata_table3[[#This Row],[Population 16 years and over]],"")</f>
        <v>0.66890589725235394</v>
      </c>
      <c r="AS23" s="6">
        <f>IFERROR(Cleandata_table3[[#This Row],[Population 16 years and over in civilian labor force]]/Cleandata_table3[[#This Row],[Population 16 years and over]],"")</f>
        <v>0.6940697098177413</v>
      </c>
      <c r="AT23" s="6">
        <f>IFERROR(Cleandata_table3[[#This Row],[Population 16 years and over not in labor force]]/Cleandata_table3[[#This Row],[Population 16 years and over]],"")</f>
        <v>0.3052144705688013</v>
      </c>
      <c r="AU23" t="str">
        <f>Cleandata_table3[[#This Row],[Neighborhood Name]]&amp; " | " &amp;Cleandata_table3[[#This Row],[Neighborhood Subtype]]</f>
        <v>Council District 2 | Unknown</v>
      </c>
      <c r="AV23" t="s">
        <v>107</v>
      </c>
    </row>
    <row r="24" spans="1:48" x14ac:dyDescent="0.35">
      <c r="A24" t="s">
        <v>135</v>
      </c>
      <c r="B24" t="s">
        <v>132</v>
      </c>
      <c r="C24" t="s">
        <v>133</v>
      </c>
      <c r="D24" s="12">
        <v>99061</v>
      </c>
      <c r="E24" s="12">
        <v>23018</v>
      </c>
      <c r="F24" s="12">
        <v>75882</v>
      </c>
      <c r="G24" s="12">
        <v>3913</v>
      </c>
      <c r="H24" s="12">
        <v>106829</v>
      </c>
      <c r="I24" s="12">
        <v>6322</v>
      </c>
      <c r="J24" s="12">
        <v>4502</v>
      </c>
      <c r="K24" s="12">
        <v>2021</v>
      </c>
      <c r="L24" s="12">
        <v>1983</v>
      </c>
      <c r="M24" s="12">
        <v>3313</v>
      </c>
      <c r="N24" s="12">
        <v>1461</v>
      </c>
      <c r="O24" s="12">
        <v>87227</v>
      </c>
      <c r="P24" s="12">
        <v>18845</v>
      </c>
      <c r="Q24" s="12">
        <v>902</v>
      </c>
      <c r="R24" s="12">
        <v>101</v>
      </c>
      <c r="S24" s="12">
        <v>351</v>
      </c>
      <c r="T24" s="12">
        <v>345</v>
      </c>
      <c r="U24" s="12">
        <v>105</v>
      </c>
      <c r="V24" s="12">
        <v>83023</v>
      </c>
      <c r="W24" s="12">
        <v>7551</v>
      </c>
      <c r="X24" s="12">
        <v>68785</v>
      </c>
      <c r="Y24" s="12">
        <v>3108</v>
      </c>
      <c r="Z24" s="12">
        <v>19602</v>
      </c>
      <c r="AA24" s="12">
        <v>72421</v>
      </c>
      <c r="AB24" s="12">
        <v>4215</v>
      </c>
      <c r="AC24" s="12">
        <v>10441</v>
      </c>
      <c r="AD24" s="12">
        <v>3336</v>
      </c>
      <c r="AE24" s="12">
        <v>3636</v>
      </c>
      <c r="AF24" s="12">
        <v>1107</v>
      </c>
      <c r="AG24" s="8">
        <f>IFERROR(Cleandata_table3[[#This Row],[Population 20 to 64 years below poverty]]/Cleandata_table3[[#This Row],[Population 20 to 64 years for whom poverty status is determined]],"")</f>
        <v>9.0950700408320581E-2</v>
      </c>
      <c r="AH24" s="8">
        <f>IFERROR(Cleandata_table3[[#This Row],[Population 20 to 64 years unemployed]]/Cleandata_table3[[#This Row],[Population 20 to 64 years in civilian labor force]],"")</f>
        <v>5.0206431836069647E-2</v>
      </c>
      <c r="AI24" s="8">
        <f>IFERROR(Cleandata_table3[[#This Row],[Population 20 to 64 years in civilian labor force]]/Cleandata_table3[[#This Row],[Population 20 to 64 years for whom poverty status is determined]],"")</f>
        <v>0.872300446864122</v>
      </c>
      <c r="AJ24" s="10">
        <f>IFERROR(Cleandata_table3[[#This Row],[Families with income in the past 12 months below poverty level]]/Cleandata_table3[[#This Row],[Families for whom poverty status is determined]],"")</f>
        <v>4.7864154948262141E-2</v>
      </c>
      <c r="AK24" s="8">
        <f>IFERROR(Cleandata_table3[[#This Row],[Population 20 to 64 years employed]]/Cleandata_table3[[#This Row],[Population 20 to 64 years for whom poverty status is determined]],"")</f>
        <v>0.82850535393806535</v>
      </c>
      <c r="AL24" s="8">
        <f>IFERROR(Cleandata_table3[[#This Row],[Population 20 to 64 years not in labor force]]/Cleandata_table3[[#This Row],[Population 20 to 64 years for whom poverty status is determined]],"")</f>
        <v>0.12576033147441071</v>
      </c>
      <c r="AM24" s="10">
        <f>IFERROR(Cleandata_table3[[#This Row],[Married-couple family with related children of the householder under 18 years below poverty]]/Cleandata_table3[[#This Row],[Families for whom poverty status is determined]],"")</f>
        <v>5.3595118068453171E-3</v>
      </c>
      <c r="AN24" s="10">
        <f>IFERROR(Cleandata_table3[[#This Row],[Married-couple family without related children of the householder under 18 years below poverty]]/Cleandata_table3[[#This Row],[Families for whom poverty status is determined]],"")</f>
        <v>1.8625630140620856E-2</v>
      </c>
      <c r="AO24" s="10">
        <f>IFERROR(Cleandata_table3[[#This Row],[Single parents with related children of the householder under 18 years below poverty]]/Cleandata_table3[[#This Row],[Families for whom poverty status is determined]],"")</f>
        <v>1.8307243300610242E-2</v>
      </c>
      <c r="AP24" s="10">
        <f>IFERROR(Cleandata_table3[[#This Row],[Other family below poverty]]/Cleandata_table3[[#This Row],[Families for whom poverty status is determined]],"")</f>
        <v>5.5717697001857252E-3</v>
      </c>
      <c r="AQ24" s="6">
        <f>IFERROR(Cleandata_table3[[#This Row],[Population 16 years and over in civilian labor force unemployed]]/Cleandata_table3[[#This Row],[Population 16 years and over in civilian labor force]],"")</f>
        <v>5.1566906512743468E-2</v>
      </c>
      <c r="AR24" s="6">
        <f>IFERROR((Cleandata_table3[[#This Row],[Population 16 years and over in civilian labor force]]-Cleandata_table3[[#This Row],[Population 16 years and over in civilian labor force unemployed]])/Cleandata_table3[[#This Row],[Population 16 years and over]],"")</f>
        <v>0.72651194718405832</v>
      </c>
      <c r="AS24" s="6">
        <f>IFERROR(Cleandata_table3[[#This Row],[Population 16 years and over in civilian labor force]]/Cleandata_table3[[#This Row],[Population 16 years and over]],"")</f>
        <v>0.76601286076256048</v>
      </c>
      <c r="AT24" s="6">
        <f>IFERROR(Cleandata_table3[[#This Row],[Population 16 years and over not in labor force]]/Cleandata_table3[[#This Row],[Population 16 years and over]],"")</f>
        <v>0.23236187803474626</v>
      </c>
      <c r="AU24" t="str">
        <f>Cleandata_table3[[#This Row],[Neighborhood Name]]&amp; " | " &amp;Cleandata_table3[[#This Row],[Neighborhood Subtype]]</f>
        <v>Council District 3 | Unknown</v>
      </c>
      <c r="AV24" t="s">
        <v>107</v>
      </c>
    </row>
    <row r="25" spans="1:48" x14ac:dyDescent="0.35">
      <c r="A25" t="s">
        <v>136</v>
      </c>
      <c r="B25" t="s">
        <v>132</v>
      </c>
      <c r="C25" t="s">
        <v>133</v>
      </c>
      <c r="D25" s="12">
        <v>91550</v>
      </c>
      <c r="E25" s="12">
        <v>27842</v>
      </c>
      <c r="F25" s="12">
        <v>63656</v>
      </c>
      <c r="G25" s="12">
        <v>2880</v>
      </c>
      <c r="H25" s="12">
        <v>93873</v>
      </c>
      <c r="I25" s="12">
        <v>7895</v>
      </c>
      <c r="J25" s="12">
        <v>4580</v>
      </c>
      <c r="K25" s="12">
        <v>1812</v>
      </c>
      <c r="L25" s="12">
        <v>2003</v>
      </c>
      <c r="M25" s="12">
        <v>2509</v>
      </c>
      <c r="N25" s="12">
        <v>1106</v>
      </c>
      <c r="O25" s="12">
        <v>73968</v>
      </c>
      <c r="P25" s="12">
        <v>18862</v>
      </c>
      <c r="Q25" s="12">
        <v>609</v>
      </c>
      <c r="R25" s="12">
        <v>56</v>
      </c>
      <c r="S25" s="12">
        <v>149</v>
      </c>
      <c r="T25" s="12">
        <v>266</v>
      </c>
      <c r="U25" s="12">
        <v>138</v>
      </c>
      <c r="V25" s="12">
        <v>67669</v>
      </c>
      <c r="W25" s="12">
        <v>10512</v>
      </c>
      <c r="X25" s="12">
        <v>53894</v>
      </c>
      <c r="Y25" s="12">
        <v>4237</v>
      </c>
      <c r="Z25" s="12">
        <v>19905</v>
      </c>
      <c r="AA25" s="12">
        <v>55812</v>
      </c>
      <c r="AB25" s="12">
        <v>4934</v>
      </c>
      <c r="AC25" s="12">
        <v>11805</v>
      </c>
      <c r="AD25" s="12">
        <v>5578</v>
      </c>
      <c r="AE25" s="12">
        <v>1918</v>
      </c>
      <c r="AF25" s="12">
        <v>697</v>
      </c>
      <c r="AG25" s="8">
        <f>IFERROR(Cleandata_table3[[#This Row],[Population 20 to 64 years below poverty]]/Cleandata_table3[[#This Row],[Population 20 to 64 years for whom poverty status is determined]],"")</f>
        <v>0.15534439699123676</v>
      </c>
      <c r="AH25" s="8">
        <f>IFERROR(Cleandata_table3[[#This Row],[Population 20 to 64 years unemployed]]/Cleandata_table3[[#This Row],[Population 20 to 64 years in civilian labor force]],"")</f>
        <v>3.4365369454597575E-2</v>
      </c>
      <c r="AI25" s="8">
        <f>IFERROR(Cleandata_table3[[#This Row],[Population 20 to 64 years in civilian labor force]]/Cleandata_table3[[#This Row],[Population 20 to 64 years for whom poverty status is determined]],"")</f>
        <v>0.82477944110301615</v>
      </c>
      <c r="AJ25" s="10">
        <f>IFERROR(Cleandata_table3[[#This Row],[Families with income in the past 12 months below poverty level]]/Cleandata_table3[[#This Row],[Families for whom poverty status is determined]],"")</f>
        <v>3.2287138161382671E-2</v>
      </c>
      <c r="AK25" s="8">
        <f>IFERROR(Cleandata_table3[[#This Row],[Population 20 to 64 years employed]]/Cleandata_table3[[#This Row],[Population 20 to 64 years for whom poverty status is determined]],"")</f>
        <v>0.7964355908909545</v>
      </c>
      <c r="AL25" s="8">
        <f>IFERROR(Cleandata_table3[[#This Row],[Population 20 to 64 years not in labor force]]/Cleandata_table3[[#This Row],[Population 20 to 64 years for whom poverty status is determined]],"")</f>
        <v>0.17445211248873191</v>
      </c>
      <c r="AM25" s="10">
        <f>IFERROR(Cleandata_table3[[#This Row],[Married-couple family with related children of the householder under 18 years below poverty]]/Cleandata_table3[[#This Row],[Families for whom poverty status is determined]],"")</f>
        <v>2.9689322447248438E-3</v>
      </c>
      <c r="AN25" s="10">
        <f>IFERROR(Cleandata_table3[[#This Row],[Married-couple family without related children of the householder under 18 years below poverty]]/Cleandata_table3[[#This Row],[Families for whom poverty status is determined]],"")</f>
        <v>7.8994804368571724E-3</v>
      </c>
      <c r="AO25" s="10">
        <f>IFERROR(Cleandata_table3[[#This Row],[Single parents with related children of the householder under 18 years below poverty]]/Cleandata_table3[[#This Row],[Families for whom poverty status is determined]],"")</f>
        <v>1.4102428162443007E-2</v>
      </c>
      <c r="AP25" s="10">
        <f>IFERROR(Cleandata_table3[[#This Row],[Other family below poverty]]/Cleandata_table3[[#This Row],[Families for whom poverty status is determined]],"")</f>
        <v>7.31629731735765E-3</v>
      </c>
      <c r="AQ25" s="6">
        <f>IFERROR(Cleandata_table3[[#This Row],[Population 16 years and over in civilian labor force unemployed]]/Cleandata_table3[[#This Row],[Population 16 years and over in civilian labor force]],"")</f>
        <v>4.5243182103807969E-2</v>
      </c>
      <c r="AR25" s="6">
        <f>IFERROR((Cleandata_table3[[#This Row],[Population 16 years and over in civilian labor force]]-Cleandata_table3[[#This Row],[Population 16 years and over in civilian labor force unemployed]])/Cleandata_table3[[#This Row],[Population 16 years and over]],"")</f>
        <v>0.66385581649371928</v>
      </c>
      <c r="AS25" s="6">
        <f>IFERROR(Cleandata_table3[[#This Row],[Population 16 years and over in civilian labor force]]/Cleandata_table3[[#This Row],[Population 16 years and over]],"")</f>
        <v>0.6953140360458766</v>
      </c>
      <c r="AT25" s="6">
        <f>IFERROR(Cleandata_table3[[#This Row],[Population 16 years and over not in labor force]]/Cleandata_table3[[#This Row],[Population 16 years and over]],"")</f>
        <v>0.30411796832332061</v>
      </c>
      <c r="AU25" t="str">
        <f>Cleandata_table3[[#This Row],[Neighborhood Name]]&amp; " | " &amp;Cleandata_table3[[#This Row],[Neighborhood Subtype]]</f>
        <v>Council District 4 | Unknown</v>
      </c>
      <c r="AV25" t="s">
        <v>107</v>
      </c>
    </row>
    <row r="26" spans="1:48" x14ac:dyDescent="0.35">
      <c r="A26" t="s">
        <v>137</v>
      </c>
      <c r="B26" t="s">
        <v>132</v>
      </c>
      <c r="C26" t="s">
        <v>133</v>
      </c>
      <c r="D26" s="12">
        <v>90846</v>
      </c>
      <c r="E26" s="12">
        <v>25242</v>
      </c>
      <c r="F26" s="12">
        <v>65518</v>
      </c>
      <c r="G26" s="12">
        <v>2934</v>
      </c>
      <c r="H26" s="12">
        <v>105379</v>
      </c>
      <c r="I26" s="12">
        <v>4865</v>
      </c>
      <c r="J26" s="12">
        <v>5104</v>
      </c>
      <c r="K26" s="12">
        <v>2046</v>
      </c>
      <c r="L26" s="12">
        <v>1991</v>
      </c>
      <c r="M26" s="12">
        <v>3241</v>
      </c>
      <c r="N26" s="12">
        <v>1075</v>
      </c>
      <c r="O26" s="12">
        <v>87057</v>
      </c>
      <c r="P26" s="12">
        <v>23890</v>
      </c>
      <c r="Q26" s="12">
        <v>1440</v>
      </c>
      <c r="R26" s="12">
        <v>163</v>
      </c>
      <c r="S26" s="12">
        <v>301</v>
      </c>
      <c r="T26" s="12">
        <v>602</v>
      </c>
      <c r="U26" s="12">
        <v>374</v>
      </c>
      <c r="V26" s="12">
        <v>71180</v>
      </c>
      <c r="W26" s="12">
        <v>6472</v>
      </c>
      <c r="X26" s="12">
        <v>58239</v>
      </c>
      <c r="Y26" s="12">
        <v>2242</v>
      </c>
      <c r="Z26" s="12">
        <v>18322</v>
      </c>
      <c r="AA26" s="12">
        <v>60839</v>
      </c>
      <c r="AB26" s="12">
        <v>3094</v>
      </c>
      <c r="AC26" s="12">
        <v>10255</v>
      </c>
      <c r="AD26" s="12">
        <v>3378</v>
      </c>
      <c r="AE26" s="12">
        <v>2600</v>
      </c>
      <c r="AF26" s="12">
        <v>852</v>
      </c>
      <c r="AG26" s="8">
        <f>IFERROR(Cleandata_table3[[#This Row],[Population 20 to 64 years below poverty]]/Cleandata_table3[[#This Row],[Population 20 to 64 years for whom poverty status is determined]],"")</f>
        <v>9.0924416971059283E-2</v>
      </c>
      <c r="AH26" s="8">
        <f>IFERROR(Cleandata_table3[[#This Row],[Population 20 to 64 years unemployed]]/Cleandata_table3[[#This Row],[Population 20 to 64 years in civilian labor force]],"")</f>
        <v>4.2735745163464227E-2</v>
      </c>
      <c r="AI26" s="8">
        <f>IFERROR(Cleandata_table3[[#This Row],[Population 20 to 64 years in civilian labor force]]/Cleandata_table3[[#This Row],[Population 20 to 64 years for whom poverty status is determined]],"")</f>
        <v>0.85472042708626017</v>
      </c>
      <c r="AJ26" s="10">
        <f>IFERROR(Cleandata_table3[[#This Row],[Families with income in the past 12 months below poverty level]]/Cleandata_table3[[#This Row],[Families for whom poverty status is determined]],"")</f>
        <v>6.0276266220175803E-2</v>
      </c>
      <c r="AK26" s="8">
        <f>IFERROR(Cleandata_table3[[#This Row],[Population 20 to 64 years employed]]/Cleandata_table3[[#This Row],[Population 20 to 64 years for whom poverty status is determined]],"")</f>
        <v>0.81819331272829443</v>
      </c>
      <c r="AL26" s="8">
        <f>IFERROR(Cleandata_table3[[#This Row],[Population 20 to 64 years not in labor force]]/Cleandata_table3[[#This Row],[Population 20 to 64 years for whom poverty status is determined]],"")</f>
        <v>0.1440713683618994</v>
      </c>
      <c r="AM26" s="10">
        <f>IFERROR(Cleandata_table3[[#This Row],[Married-couple family with related children of the householder under 18 years below poverty]]/Cleandata_table3[[#This Row],[Families for whom poverty status is determined]],"")</f>
        <v>6.8229384679782332E-3</v>
      </c>
      <c r="AN26" s="10">
        <f>IFERROR(Cleandata_table3[[#This Row],[Married-couple family without related children of the householder under 18 years below poverty]]/Cleandata_table3[[#This Row],[Families for whom poverty status is determined]],"")</f>
        <v>1.2599413980745081E-2</v>
      </c>
      <c r="AO26" s="10">
        <f>IFERROR(Cleandata_table3[[#This Row],[Single parents with related children of the householder under 18 years below poverty]]/Cleandata_table3[[#This Row],[Families for whom poverty status is determined]],"")</f>
        <v>2.5198827961490162E-2</v>
      </c>
      <c r="AP26" s="10">
        <f>IFERROR(Cleandata_table3[[#This Row],[Other family below poverty]]/Cleandata_table3[[#This Row],[Families for whom poverty status is determined]],"")</f>
        <v>1.5655085809962329E-2</v>
      </c>
      <c r="AQ26" s="6">
        <f>IFERROR(Cleandata_table3[[#This Row],[Population 16 years and over in civilian labor force unemployed]]/Cleandata_table3[[#This Row],[Population 16 years and over in civilian labor force]],"")</f>
        <v>4.4781586739521963E-2</v>
      </c>
      <c r="AR26" s="6">
        <f>IFERROR((Cleandata_table3[[#This Row],[Population 16 years and over in civilian labor force]]-Cleandata_table3[[#This Row],[Population 16 years and over in civilian labor force unemployed]])/Cleandata_table3[[#This Row],[Population 16 years and over]],"")</f>
        <v>0.68890209805605085</v>
      </c>
      <c r="AS26" s="6">
        <f>IFERROR(Cleandata_table3[[#This Row],[Population 16 years and over in civilian labor force]]/Cleandata_table3[[#This Row],[Population 16 years and over]],"")</f>
        <v>0.72119851176716643</v>
      </c>
      <c r="AT26" s="6">
        <f>IFERROR(Cleandata_table3[[#This Row],[Population 16 years and over not in labor force]]/Cleandata_table3[[#This Row],[Population 16 years and over]],"")</f>
        <v>0.27785483125288951</v>
      </c>
      <c r="AU26" t="str">
        <f>Cleandata_table3[[#This Row],[Neighborhood Name]]&amp; " | " &amp;Cleandata_table3[[#This Row],[Neighborhood Subtype]]</f>
        <v>Council District 5 | Unknown</v>
      </c>
      <c r="AV26" t="s">
        <v>107</v>
      </c>
    </row>
    <row r="27" spans="1:48" x14ac:dyDescent="0.35">
      <c r="A27" t="s">
        <v>138</v>
      </c>
      <c r="B27" t="s">
        <v>132</v>
      </c>
      <c r="C27" t="s">
        <v>133</v>
      </c>
      <c r="D27" s="12">
        <v>89490</v>
      </c>
      <c r="E27" s="12">
        <v>20015</v>
      </c>
      <c r="F27" s="12">
        <v>69368</v>
      </c>
      <c r="G27" s="12">
        <v>2292</v>
      </c>
      <c r="H27" s="12">
        <v>104797</v>
      </c>
      <c r="I27" s="12">
        <v>2761</v>
      </c>
      <c r="J27" s="12">
        <v>2655</v>
      </c>
      <c r="K27" s="12">
        <v>831</v>
      </c>
      <c r="L27" s="12">
        <v>1194</v>
      </c>
      <c r="M27" s="12">
        <v>1652</v>
      </c>
      <c r="N27" s="12">
        <v>929</v>
      </c>
      <c r="O27" s="12">
        <v>94775</v>
      </c>
      <c r="P27" s="12">
        <v>23414</v>
      </c>
      <c r="Q27" s="12">
        <v>602</v>
      </c>
      <c r="R27" s="12">
        <v>64</v>
      </c>
      <c r="S27" s="12">
        <v>157</v>
      </c>
      <c r="T27" s="12">
        <v>298</v>
      </c>
      <c r="U27" s="12">
        <v>83</v>
      </c>
      <c r="V27" s="12">
        <v>73528</v>
      </c>
      <c r="W27" s="12">
        <v>3863</v>
      </c>
      <c r="X27" s="12">
        <v>63243</v>
      </c>
      <c r="Y27" s="12">
        <v>1454</v>
      </c>
      <c r="Z27" s="12">
        <v>10022</v>
      </c>
      <c r="AA27" s="12">
        <v>65389</v>
      </c>
      <c r="AB27" s="12">
        <v>2040</v>
      </c>
      <c r="AC27" s="12">
        <v>8032</v>
      </c>
      <c r="AD27" s="12">
        <v>1823</v>
      </c>
      <c r="AE27" s="12">
        <v>2146</v>
      </c>
      <c r="AF27" s="12">
        <v>586</v>
      </c>
      <c r="AG27" s="8">
        <f>IFERROR(Cleandata_table3[[#This Row],[Population 20 to 64 years below poverty]]/Cleandata_table3[[#This Row],[Population 20 to 64 years for whom poverty status is determined]],"")</f>
        <v>5.2537808725927539E-2</v>
      </c>
      <c r="AH27" s="8">
        <f>IFERROR(Cleandata_table3[[#This Row],[Population 20 to 64 years unemployed]]/Cleandata_table3[[#This Row],[Population 20 to 64 years in civilian labor force]],"")</f>
        <v>3.281897566869045E-2</v>
      </c>
      <c r="AI27" s="8">
        <f>IFERROR(Cleandata_table3[[#This Row],[Population 20 to 64 years in civilian labor force]]/Cleandata_table3[[#This Row],[Population 20 to 64 years for whom poverty status is determined]],"")</f>
        <v>0.88930747470351434</v>
      </c>
      <c r="AJ27" s="10">
        <f>IFERROR(Cleandata_table3[[#This Row],[Families with income in the past 12 months below poverty level]]/Cleandata_table3[[#This Row],[Families for whom poverty status is determined]],"")</f>
        <v>2.5711113009310668E-2</v>
      </c>
      <c r="AK27" s="8">
        <f>IFERROR(Cleandata_table3[[#This Row],[Population 20 to 64 years employed]]/Cleandata_table3[[#This Row],[Population 20 to 64 years for whom poverty status is determined]],"")</f>
        <v>0.86012131432923511</v>
      </c>
      <c r="AL27" s="8">
        <f>IFERROR(Cleandata_table3[[#This Row],[Population 20 to 64 years not in labor force]]/Cleandata_table3[[#This Row],[Population 20 to 64 years for whom poverty status is determined]],"")</f>
        <v>0.10923729735610924</v>
      </c>
      <c r="AM27" s="10">
        <f>IFERROR(Cleandata_table3[[#This Row],[Married-couple family with related children of the householder under 18 years below poverty]]/Cleandata_table3[[#This Row],[Families for whom poverty status is determined]],"")</f>
        <v>2.7334073631160843E-3</v>
      </c>
      <c r="AN27" s="10">
        <f>IFERROR(Cleandata_table3[[#This Row],[Married-couple family without related children of the householder under 18 years below poverty]]/Cleandata_table3[[#This Row],[Families for whom poverty status is determined]],"")</f>
        <v>6.7053899376441446E-3</v>
      </c>
      <c r="AO27" s="10">
        <f>IFERROR(Cleandata_table3[[#This Row],[Single parents with related children of the householder under 18 years below poverty]]/Cleandata_table3[[#This Row],[Families for whom poverty status is determined]],"")</f>
        <v>1.2727428034509268E-2</v>
      </c>
      <c r="AP27" s="10">
        <f>IFERROR(Cleandata_table3[[#This Row],[Other family below poverty]]/Cleandata_table3[[#This Row],[Families for whom poverty status is determined]],"")</f>
        <v>3.5448876740411719E-3</v>
      </c>
      <c r="AQ27" s="6">
        <f>IFERROR(Cleandata_table3[[#This Row],[Population 16 years and over in civilian labor force unemployed]]/Cleandata_table3[[#This Row],[Population 16 years and over in civilian labor force]],"")</f>
        <v>3.3041171721831394E-2</v>
      </c>
      <c r="AR27" s="6">
        <f>IFERROR((Cleandata_table3[[#This Row],[Population 16 years and over in civilian labor force]]-Cleandata_table3[[#This Row],[Population 16 years and over in civilian labor force unemployed]])/Cleandata_table3[[#This Row],[Population 16 years and over]],"")</f>
        <v>0.74953626103475246</v>
      </c>
      <c r="AS27" s="6">
        <f>IFERROR(Cleandata_table3[[#This Row],[Population 16 years and over in civilian labor force]]/Cleandata_table3[[#This Row],[Population 16 years and over]],"")</f>
        <v>0.77514806123589231</v>
      </c>
      <c r="AT27" s="6">
        <f>IFERROR(Cleandata_table3[[#This Row],[Population 16 years and over not in labor force]]/Cleandata_table3[[#This Row],[Population 16 years and over]],"")</f>
        <v>0.22365627444407196</v>
      </c>
      <c r="AU27" t="str">
        <f>Cleandata_table3[[#This Row],[Neighborhood Name]]&amp; " | " &amp;Cleandata_table3[[#This Row],[Neighborhood Subtype]]</f>
        <v>Council District 6 | Unknown</v>
      </c>
      <c r="AV27" t="s">
        <v>107</v>
      </c>
    </row>
    <row r="28" spans="1:48" x14ac:dyDescent="0.35">
      <c r="A28" t="s">
        <v>139</v>
      </c>
      <c r="B28" t="s">
        <v>132</v>
      </c>
      <c r="C28" t="s">
        <v>133</v>
      </c>
      <c r="D28" s="12">
        <v>95692</v>
      </c>
      <c r="E28" s="12">
        <v>19436</v>
      </c>
      <c r="F28" s="12">
        <v>76035</v>
      </c>
      <c r="G28" s="12">
        <v>3042</v>
      </c>
      <c r="H28" s="12">
        <v>98649</v>
      </c>
      <c r="I28" s="12">
        <v>5205</v>
      </c>
      <c r="J28" s="12">
        <v>3299</v>
      </c>
      <c r="K28" s="12">
        <v>1654</v>
      </c>
      <c r="L28" s="12">
        <v>1903</v>
      </c>
      <c r="M28" s="12">
        <v>1960</v>
      </c>
      <c r="N28" s="12">
        <v>939</v>
      </c>
      <c r="O28" s="12">
        <v>83689</v>
      </c>
      <c r="P28" s="12">
        <v>17004</v>
      </c>
      <c r="Q28" s="12">
        <v>523</v>
      </c>
      <c r="R28" s="12">
        <v>38</v>
      </c>
      <c r="S28" s="12">
        <v>195</v>
      </c>
      <c r="T28" s="12">
        <v>155</v>
      </c>
      <c r="U28" s="12">
        <v>135</v>
      </c>
      <c r="V28" s="12">
        <v>81455</v>
      </c>
      <c r="W28" s="12">
        <v>6861</v>
      </c>
      <c r="X28" s="12">
        <v>69958</v>
      </c>
      <c r="Y28" s="12">
        <v>2506</v>
      </c>
      <c r="Z28" s="12">
        <v>14960</v>
      </c>
      <c r="AA28" s="12">
        <v>72636</v>
      </c>
      <c r="AB28" s="12">
        <v>3298</v>
      </c>
      <c r="AC28" s="12">
        <v>8665</v>
      </c>
      <c r="AD28" s="12">
        <v>3563</v>
      </c>
      <c r="AE28" s="12">
        <v>2678</v>
      </c>
      <c r="AF28" s="12">
        <v>792</v>
      </c>
      <c r="AG28" s="8">
        <f>IFERROR(Cleandata_table3[[#This Row],[Population 20 to 64 years below poverty]]/Cleandata_table3[[#This Row],[Population 20 to 64 years for whom poverty status is determined]],"")</f>
        <v>8.4230556749125288E-2</v>
      </c>
      <c r="AH28" s="8">
        <f>IFERROR(Cleandata_table3[[#This Row],[Population 20 to 64 years unemployed]]/Cleandata_table3[[#This Row],[Population 20 to 64 years in civilian labor force]],"")</f>
        <v>3.6868770306734952E-2</v>
      </c>
      <c r="AI28" s="8">
        <f>IFERROR(Cleandata_table3[[#This Row],[Population 20 to 64 years in civilian labor force]]/Cleandata_table3[[#This Row],[Population 20 to 64 years for whom poverty status is determined]],"")</f>
        <v>0.89173163096188079</v>
      </c>
      <c r="AJ28" s="10">
        <f>IFERROR(Cleandata_table3[[#This Row],[Families with income in the past 12 months below poverty level]]/Cleandata_table3[[#This Row],[Families for whom poverty status is determined]],"")</f>
        <v>3.0757468830863326E-2</v>
      </c>
      <c r="AK28" s="8">
        <f>IFERROR(Cleandata_table3[[#This Row],[Population 20 to 64 years employed]]/Cleandata_table3[[#This Row],[Population 20 to 64 years for whom poverty status is determined]],"")</f>
        <v>0.85885458228469702</v>
      </c>
      <c r="AL28" s="8">
        <f>IFERROR(Cleandata_table3[[#This Row],[Population 20 to 64 years not in labor force]]/Cleandata_table3[[#This Row],[Population 20 to 64 years for whom poverty status is determined]],"")</f>
        <v>0.10637775458842305</v>
      </c>
      <c r="AM28" s="10">
        <f>IFERROR(Cleandata_table3[[#This Row],[Married-couple family with related children of the householder under 18 years below poverty]]/Cleandata_table3[[#This Row],[Families for whom poverty status is determined]],"")</f>
        <v>2.2347682898141612E-3</v>
      </c>
      <c r="AN28" s="10">
        <f>IFERROR(Cleandata_table3[[#This Row],[Married-couple family without related children of the householder under 18 years below poverty]]/Cleandata_table3[[#This Row],[Families for whom poverty status is determined]],"")</f>
        <v>1.1467889908256881E-2</v>
      </c>
      <c r="AO28" s="10">
        <f>IFERROR(Cleandata_table3[[#This Row],[Single parents with related children of the householder under 18 years below poverty]]/Cleandata_table3[[#This Row],[Families for whom poverty status is determined]],"")</f>
        <v>9.1155022347682892E-3</v>
      </c>
      <c r="AP28" s="10">
        <f>IFERROR(Cleandata_table3[[#This Row],[Other family below poverty]]/Cleandata_table3[[#This Row],[Families for whom poverty status is determined]],"")</f>
        <v>7.9393083980239948E-3</v>
      </c>
      <c r="AQ28" s="6">
        <f>IFERROR(Cleandata_table3[[#This Row],[Population 16 years and over in civilian labor force unemployed]]/Cleandata_table3[[#This Row],[Population 16 years and over in civilian labor force]],"")</f>
        <v>4.0007891102781613E-2</v>
      </c>
      <c r="AR28" s="6">
        <f>IFERROR((Cleandata_table3[[#This Row],[Population 16 years and over in civilian labor force]]-Cleandata_table3[[#This Row],[Population 16 years and over in civilian labor force unemployed]])/Cleandata_table3[[#This Row],[Population 16 years and over]],"")</f>
        <v>0.76279103791330516</v>
      </c>
      <c r="AS28" s="6">
        <f>IFERROR(Cleandata_table3[[#This Row],[Population 16 years and over in civilian labor force]]/Cleandata_table3[[#This Row],[Population 16 years and over]],"")</f>
        <v>0.79458052919784306</v>
      </c>
      <c r="AT28" s="6">
        <f>IFERROR(Cleandata_table3[[#This Row],[Population 16 years and over not in labor force]]/Cleandata_table3[[#This Row],[Population 16 years and over]],"")</f>
        <v>0.20310997784558793</v>
      </c>
      <c r="AU28" t="str">
        <f>Cleandata_table3[[#This Row],[Neighborhood Name]]&amp; " | " &amp;Cleandata_table3[[#This Row],[Neighborhood Subtype]]</f>
        <v>Council District 7 | Unknown</v>
      </c>
      <c r="AV28" t="s">
        <v>107</v>
      </c>
    </row>
    <row r="29" spans="1:48" x14ac:dyDescent="0.35">
      <c r="A29" t="s">
        <v>140</v>
      </c>
      <c r="B29" t="s">
        <v>105</v>
      </c>
      <c r="C29" t="s">
        <v>141</v>
      </c>
      <c r="D29" s="12">
        <v>4819</v>
      </c>
      <c r="E29" s="12">
        <v>1571</v>
      </c>
      <c r="F29" s="12">
        <v>3248</v>
      </c>
      <c r="G29" s="12">
        <v>95</v>
      </c>
      <c r="H29" s="12">
        <v>6105</v>
      </c>
      <c r="I29" s="12">
        <v>190</v>
      </c>
      <c r="J29" s="12">
        <v>64</v>
      </c>
      <c r="K29" s="12">
        <v>16</v>
      </c>
      <c r="L29" s="12">
        <v>46</v>
      </c>
      <c r="M29" s="12">
        <v>49</v>
      </c>
      <c r="N29" s="12">
        <v>41</v>
      </c>
      <c r="O29" s="12">
        <v>5699</v>
      </c>
      <c r="P29" s="12">
        <v>1839</v>
      </c>
      <c r="Q29" s="12">
        <v>49</v>
      </c>
      <c r="R29" s="12">
        <v>18</v>
      </c>
      <c r="S29" s="12">
        <v>0</v>
      </c>
      <c r="T29" s="12">
        <v>31</v>
      </c>
      <c r="U29" s="12">
        <v>0</v>
      </c>
      <c r="V29" s="12">
        <v>3556</v>
      </c>
      <c r="W29" s="12">
        <v>170</v>
      </c>
      <c r="X29" s="12">
        <v>2912</v>
      </c>
      <c r="Y29" s="12">
        <v>32</v>
      </c>
      <c r="Z29" s="12">
        <v>406</v>
      </c>
      <c r="AA29" s="12">
        <v>2998</v>
      </c>
      <c r="AB29" s="12">
        <v>63</v>
      </c>
      <c r="AC29" s="12">
        <v>558</v>
      </c>
      <c r="AD29" s="12">
        <v>107</v>
      </c>
      <c r="AE29" s="12">
        <v>86</v>
      </c>
      <c r="AF29" s="12">
        <v>31</v>
      </c>
      <c r="AG29" s="8">
        <f>IFERROR(Cleandata_table3[[#This Row],[Population 20 to 64 years below poverty]]/Cleandata_table3[[#This Row],[Population 20 to 64 years for whom poverty status is determined]],"")</f>
        <v>4.7806524184476944E-2</v>
      </c>
      <c r="AH29" s="8">
        <f>IFERROR(Cleandata_table3[[#This Row],[Population 20 to 64 years unemployed]]/Cleandata_table3[[#This Row],[Population 20 to 64 years in civilian labor force]],"")</f>
        <v>2.8685790527018012E-2</v>
      </c>
      <c r="AI29" s="8">
        <f>IFERROR(Cleandata_table3[[#This Row],[Population 20 to 64 years in civilian labor force]]/Cleandata_table3[[#This Row],[Population 20 to 64 years for whom poverty status is determined]],"")</f>
        <v>0.84308211473565808</v>
      </c>
      <c r="AJ29" s="10">
        <f>IFERROR(Cleandata_table3[[#This Row],[Families with income in the past 12 months below poverty level]]/Cleandata_table3[[#This Row],[Families for whom poverty status is determined]],"")</f>
        <v>2.6644915715062535E-2</v>
      </c>
      <c r="AK29" s="8">
        <f>IFERROR(Cleandata_table3[[#This Row],[Population 20 to 64 years employed]]/Cleandata_table3[[#This Row],[Population 20 to 64 years for whom poverty status is determined]],"")</f>
        <v>0.81889763779527558</v>
      </c>
      <c r="AL29" s="8">
        <f>IFERROR(Cleandata_table3[[#This Row],[Population 20 to 64 years not in labor force]]/Cleandata_table3[[#This Row],[Population 20 to 64 years for whom poverty status is determined]],"")</f>
        <v>0.15691788526434194</v>
      </c>
      <c r="AM29" s="10">
        <f>IFERROR(Cleandata_table3[[#This Row],[Married-couple family with related children of the householder under 18 years below poverty]]/Cleandata_table3[[#This Row],[Families for whom poverty status is determined]],"")</f>
        <v>9.7879282218597055E-3</v>
      </c>
      <c r="AN29" s="10">
        <f>IFERROR(Cleandata_table3[[#This Row],[Married-couple family without related children of the householder under 18 years below poverty]]/Cleandata_table3[[#This Row],[Families for whom poverty status is determined]],"")</f>
        <v>0</v>
      </c>
      <c r="AO29" s="10">
        <f>IFERROR(Cleandata_table3[[#This Row],[Single parents with related children of the householder under 18 years below poverty]]/Cleandata_table3[[#This Row],[Families for whom poverty status is determined]],"")</f>
        <v>1.6856987493202826E-2</v>
      </c>
      <c r="AP29" s="10">
        <f>IFERROR(Cleandata_table3[[#This Row],[Other family below poverty]]/Cleandata_table3[[#This Row],[Families for whom poverty status is determined]],"")</f>
        <v>0</v>
      </c>
      <c r="AQ29" s="6">
        <f>IFERROR(Cleandata_table3[[#This Row],[Population 16 years and over in civilian labor force unemployed]]/Cleandata_table3[[#This Row],[Population 16 years and over in civilian labor force]],"")</f>
        <v>2.9248768472906403E-2</v>
      </c>
      <c r="AR29" s="6">
        <f>IFERROR((Cleandata_table3[[#This Row],[Population 16 years and over in civilian labor force]]-Cleandata_table3[[#This Row],[Population 16 years and over in civilian labor force unemployed]])/Cleandata_table3[[#This Row],[Population 16 years and over]],"")</f>
        <v>0.65428512139448014</v>
      </c>
      <c r="AS29" s="6">
        <f>IFERROR(Cleandata_table3[[#This Row],[Population 16 years and over in civilian labor force]]/Cleandata_table3[[#This Row],[Population 16 years and over]],"")</f>
        <v>0.67399875492840844</v>
      </c>
      <c r="AT29" s="6">
        <f>IFERROR(Cleandata_table3[[#This Row],[Population 16 years and over not in labor force]]/Cleandata_table3[[#This Row],[Population 16 years and over]],"")</f>
        <v>0.32600124507159162</v>
      </c>
      <c r="AU29" t="str">
        <f>Cleandata_table3[[#This Row],[Neighborhood Name]]&amp; " | " &amp;Cleandata_table3[[#This Row],[Neighborhood Subtype]]</f>
        <v>Arbor Heights | Southwest</v>
      </c>
      <c r="AV29" t="s">
        <v>107</v>
      </c>
    </row>
    <row r="30" spans="1:48" x14ac:dyDescent="0.35">
      <c r="A30" t="s">
        <v>142</v>
      </c>
      <c r="B30" t="s">
        <v>105</v>
      </c>
      <c r="C30" t="s">
        <v>141</v>
      </c>
      <c r="D30" s="12">
        <v>12592</v>
      </c>
      <c r="E30" s="12">
        <v>3294</v>
      </c>
      <c r="F30" s="12">
        <v>9298</v>
      </c>
      <c r="G30" s="12">
        <v>297</v>
      </c>
      <c r="H30" s="12">
        <v>15042</v>
      </c>
      <c r="I30" s="12">
        <v>358</v>
      </c>
      <c r="J30" s="12">
        <v>457</v>
      </c>
      <c r="K30" s="12">
        <v>96</v>
      </c>
      <c r="L30" s="12">
        <v>285</v>
      </c>
      <c r="M30" s="12">
        <v>354</v>
      </c>
      <c r="N30" s="12">
        <v>33</v>
      </c>
      <c r="O30" s="12">
        <v>13459</v>
      </c>
      <c r="P30" s="12">
        <v>3865</v>
      </c>
      <c r="Q30" s="12">
        <v>28</v>
      </c>
      <c r="R30" s="12">
        <v>10</v>
      </c>
      <c r="S30" s="12">
        <v>8</v>
      </c>
      <c r="T30" s="12">
        <v>10</v>
      </c>
      <c r="U30" s="12">
        <v>0</v>
      </c>
      <c r="V30" s="12">
        <v>9746</v>
      </c>
      <c r="W30" s="12">
        <v>597</v>
      </c>
      <c r="X30" s="12">
        <v>8271</v>
      </c>
      <c r="Y30" s="12">
        <v>251</v>
      </c>
      <c r="Z30" s="12">
        <v>1583</v>
      </c>
      <c r="AA30" s="12">
        <v>8537</v>
      </c>
      <c r="AB30" s="12">
        <v>380</v>
      </c>
      <c r="AC30" s="12">
        <v>1209</v>
      </c>
      <c r="AD30" s="12">
        <v>217</v>
      </c>
      <c r="AE30" s="12">
        <v>266</v>
      </c>
      <c r="AF30" s="12">
        <v>129</v>
      </c>
      <c r="AG30" s="8">
        <f>IFERROR(Cleandata_table3[[#This Row],[Population 20 to 64 years below poverty]]/Cleandata_table3[[#This Row],[Population 20 to 64 years for whom poverty status is determined]],"")</f>
        <v>6.1255899856351326E-2</v>
      </c>
      <c r="AH30" s="8">
        <f>IFERROR(Cleandata_table3[[#This Row],[Population 20 to 64 years unemployed]]/Cleandata_table3[[#This Row],[Population 20 to 64 years in civilian labor force]],"")</f>
        <v>3.1158486587794305E-2</v>
      </c>
      <c r="AI30" s="8">
        <f>IFERROR(Cleandata_table3[[#This Row],[Population 20 to 64 years in civilian labor force]]/Cleandata_table3[[#This Row],[Population 20 to 64 years for whom poverty status is determined]],"")</f>
        <v>0.87594910732608244</v>
      </c>
      <c r="AJ30" s="10">
        <f>IFERROR(Cleandata_table3[[#This Row],[Families with income in the past 12 months below poverty level]]/Cleandata_table3[[#This Row],[Families for whom poverty status is determined]],"")</f>
        <v>7.2445019404915913E-3</v>
      </c>
      <c r="AK30" s="8">
        <f>IFERROR(Cleandata_table3[[#This Row],[Population 20 to 64 years employed]]/Cleandata_table3[[#This Row],[Population 20 to 64 years for whom poverty status is determined]],"")</f>
        <v>0.8486558588138724</v>
      </c>
      <c r="AL30" s="8">
        <f>IFERROR(Cleandata_table3[[#This Row],[Population 20 to 64 years not in labor force]]/Cleandata_table3[[#This Row],[Population 20 to 64 years for whom poverty status is determined]],"")</f>
        <v>0.1240508926739175</v>
      </c>
      <c r="AM30" s="10">
        <f>IFERROR(Cleandata_table3[[#This Row],[Married-couple family with related children of the householder under 18 years below poverty]]/Cleandata_table3[[#This Row],[Families for whom poverty status is determined]],"")</f>
        <v>2.5873221216041399E-3</v>
      </c>
      <c r="AN30" s="10">
        <f>IFERROR(Cleandata_table3[[#This Row],[Married-couple family without related children of the householder under 18 years below poverty]]/Cleandata_table3[[#This Row],[Families for whom poverty status is determined]],"")</f>
        <v>2.0698576972833119E-3</v>
      </c>
      <c r="AO30" s="10">
        <f>IFERROR(Cleandata_table3[[#This Row],[Single parents with related children of the householder under 18 years below poverty]]/Cleandata_table3[[#This Row],[Families for whom poverty status is determined]],"")</f>
        <v>2.5873221216041399E-3</v>
      </c>
      <c r="AP30" s="10">
        <f>IFERROR(Cleandata_table3[[#This Row],[Other family below poverty]]/Cleandata_table3[[#This Row],[Families for whom poverty status is determined]],"")</f>
        <v>0</v>
      </c>
      <c r="AQ30" s="6">
        <f>IFERROR(Cleandata_table3[[#This Row],[Population 16 years and over in civilian labor force unemployed]]/Cleandata_table3[[#This Row],[Population 16 years and over in civilian labor force]],"")</f>
        <v>3.1942353194235322E-2</v>
      </c>
      <c r="AR30" s="6">
        <f>IFERROR((Cleandata_table3[[#This Row],[Population 16 years and over in civilian labor force]]-Cleandata_table3[[#This Row],[Population 16 years and over in civilian labor force unemployed]])/Cleandata_table3[[#This Row],[Population 16 years and over]],"")</f>
        <v>0.71481893265565444</v>
      </c>
      <c r="AS30" s="6">
        <f>IFERROR(Cleandata_table3[[#This Row],[Population 16 years and over in civilian labor force]]/Cleandata_table3[[#This Row],[Population 16 years and over]],"")</f>
        <v>0.73840533672172803</v>
      </c>
      <c r="AT30" s="6">
        <f>IFERROR(Cleandata_table3[[#This Row],[Population 16 years and over not in labor force]]/Cleandata_table3[[#This Row],[Population 16 years and over]],"")</f>
        <v>0.26159466327827191</v>
      </c>
      <c r="AU30" t="str">
        <f>Cleandata_table3[[#This Row],[Neighborhood Name]]&amp; " | " &amp;Cleandata_table3[[#This Row],[Neighborhood Subtype]]</f>
        <v>Fauntleroy/Seaview | Southwest</v>
      </c>
      <c r="AV30" t="s">
        <v>107</v>
      </c>
    </row>
    <row r="31" spans="1:48" x14ac:dyDescent="0.35">
      <c r="A31" t="s">
        <v>143</v>
      </c>
      <c r="B31" t="s">
        <v>105</v>
      </c>
      <c r="C31" t="s">
        <v>141</v>
      </c>
      <c r="D31" s="12">
        <v>20307</v>
      </c>
      <c r="E31" s="12">
        <v>4876</v>
      </c>
      <c r="F31" s="12">
        <v>15414</v>
      </c>
      <c r="G31" s="12">
        <v>685</v>
      </c>
      <c r="H31" s="12">
        <v>23529</v>
      </c>
      <c r="I31" s="12">
        <v>893</v>
      </c>
      <c r="J31" s="12">
        <v>565</v>
      </c>
      <c r="K31" s="12">
        <v>352</v>
      </c>
      <c r="L31" s="12">
        <v>284</v>
      </c>
      <c r="M31" s="12">
        <v>374</v>
      </c>
      <c r="N31" s="12">
        <v>953</v>
      </c>
      <c r="O31" s="12">
        <v>20108</v>
      </c>
      <c r="P31" s="12">
        <v>5391</v>
      </c>
      <c r="Q31" s="12">
        <v>155</v>
      </c>
      <c r="R31" s="12">
        <v>45</v>
      </c>
      <c r="S31" s="12">
        <v>50</v>
      </c>
      <c r="T31" s="12">
        <v>37</v>
      </c>
      <c r="U31" s="12">
        <v>23</v>
      </c>
      <c r="V31" s="12">
        <v>16479</v>
      </c>
      <c r="W31" s="12">
        <v>991</v>
      </c>
      <c r="X31" s="12">
        <v>14013</v>
      </c>
      <c r="Y31" s="12">
        <v>640</v>
      </c>
      <c r="Z31" s="12">
        <v>3421</v>
      </c>
      <c r="AA31" s="12">
        <v>14638</v>
      </c>
      <c r="AB31" s="12">
        <v>680</v>
      </c>
      <c r="AC31" s="12">
        <v>1824</v>
      </c>
      <c r="AD31" s="12">
        <v>311</v>
      </c>
      <c r="AE31" s="12">
        <v>625</v>
      </c>
      <c r="AF31" s="12">
        <v>40</v>
      </c>
      <c r="AG31" s="8">
        <f>IFERROR(Cleandata_table3[[#This Row],[Population 20 to 64 years below poverty]]/Cleandata_table3[[#This Row],[Population 20 to 64 years for whom poverty status is determined]],"")</f>
        <v>6.0137144244189575E-2</v>
      </c>
      <c r="AH31" s="8">
        <f>IFERROR(Cleandata_table3[[#This Row],[Population 20 to 64 years unemployed]]/Cleandata_table3[[#This Row],[Population 20 to 64 years in civilian labor force]],"")</f>
        <v>4.2697089766361523E-2</v>
      </c>
      <c r="AI31" s="8">
        <f>IFERROR(Cleandata_table3[[#This Row],[Population 20 to 64 years in civilian labor force]]/Cleandata_table3[[#This Row],[Population 20 to 64 years for whom poverty status is determined]],"")</f>
        <v>0.88828205594999698</v>
      </c>
      <c r="AJ31" s="10">
        <f>IFERROR(Cleandata_table3[[#This Row],[Families with income in the past 12 months below poverty level]]/Cleandata_table3[[#This Row],[Families for whom poverty status is determined]],"")</f>
        <v>2.8751623075496197E-2</v>
      </c>
      <c r="AK31" s="8">
        <f>IFERROR(Cleandata_table3[[#This Row],[Population 20 to 64 years employed]]/Cleandata_table3[[#This Row],[Population 20 to 64 years for whom poverty status is determined]],"")</f>
        <v>0.85035499726925179</v>
      </c>
      <c r="AL31" s="8">
        <f>IFERROR(Cleandata_table3[[#This Row],[Population 20 to 64 years not in labor force]]/Cleandata_table3[[#This Row],[Population 20 to 64 years for whom poverty status is determined]],"")</f>
        <v>0.11068632805388677</v>
      </c>
      <c r="AM31" s="10">
        <f>IFERROR(Cleandata_table3[[#This Row],[Married-couple family with related children of the householder under 18 years below poverty]]/Cleandata_table3[[#This Row],[Families for whom poverty status is determined]],"")</f>
        <v>8.3472454090150246E-3</v>
      </c>
      <c r="AN31" s="10">
        <f>IFERROR(Cleandata_table3[[#This Row],[Married-couple family without related children of the householder under 18 years below poverty]]/Cleandata_table3[[#This Row],[Families for whom poverty status is determined]],"")</f>
        <v>9.2747171211278057E-3</v>
      </c>
      <c r="AO31" s="10">
        <f>IFERROR(Cleandata_table3[[#This Row],[Single parents with related children of the householder under 18 years below poverty]]/Cleandata_table3[[#This Row],[Families for whom poverty status is determined]],"")</f>
        <v>6.8632906696345763E-3</v>
      </c>
      <c r="AP31" s="10">
        <f>IFERROR(Cleandata_table3[[#This Row],[Other family below poverty]]/Cleandata_table3[[#This Row],[Families for whom poverty status is determined]],"")</f>
        <v>4.2663698757187908E-3</v>
      </c>
      <c r="AQ31" s="6">
        <f>IFERROR(Cleandata_table3[[#This Row],[Population 16 years and over in civilian labor force unemployed]]/Cleandata_table3[[#This Row],[Population 16 years and over in civilian labor force]],"")</f>
        <v>4.444011937199948E-2</v>
      </c>
      <c r="AR31" s="6">
        <f>IFERROR((Cleandata_table3[[#This Row],[Population 16 years and over in civilian labor force]]-Cleandata_table3[[#This Row],[Population 16 years and over in civilian labor force unemployed]])/Cleandata_table3[[#This Row],[Population 16 years and over]],"")</f>
        <v>0.72531639336189491</v>
      </c>
      <c r="AS31" s="6">
        <f>IFERROR(Cleandata_table3[[#This Row],[Population 16 years and over in civilian labor force]]/Cleandata_table3[[#This Row],[Population 16 years and over]],"")</f>
        <v>0.75904860392967943</v>
      </c>
      <c r="AT31" s="6">
        <f>IFERROR(Cleandata_table3[[#This Row],[Population 16 years and over not in labor force]]/Cleandata_table3[[#This Row],[Population 16 years and over]],"")</f>
        <v>0.2401142463190033</v>
      </c>
      <c r="AU31" t="str">
        <f>Cleandata_table3[[#This Row],[Neighborhood Name]]&amp; " | " &amp;Cleandata_table3[[#This Row],[Neighborhood Subtype]]</f>
        <v>West Seattle Junction/Genesee Hill | Southwest</v>
      </c>
      <c r="AV31" t="s">
        <v>107</v>
      </c>
    </row>
    <row r="32" spans="1:48" x14ac:dyDescent="0.35">
      <c r="A32" t="s">
        <v>144</v>
      </c>
      <c r="B32" t="s">
        <v>105</v>
      </c>
      <c r="C32" t="s">
        <v>141</v>
      </c>
      <c r="D32" s="12">
        <v>10477</v>
      </c>
      <c r="E32" s="12">
        <v>3322</v>
      </c>
      <c r="F32" s="12">
        <v>7155</v>
      </c>
      <c r="G32" s="12">
        <v>191</v>
      </c>
      <c r="H32" s="12">
        <v>11920</v>
      </c>
      <c r="I32" s="12">
        <v>267</v>
      </c>
      <c r="J32" s="12">
        <v>203</v>
      </c>
      <c r="K32" s="12">
        <v>236</v>
      </c>
      <c r="L32" s="12">
        <v>187</v>
      </c>
      <c r="M32" s="12">
        <v>179</v>
      </c>
      <c r="N32" s="12">
        <v>15</v>
      </c>
      <c r="O32" s="12">
        <v>10833</v>
      </c>
      <c r="P32" s="12">
        <v>3107</v>
      </c>
      <c r="Q32" s="12">
        <v>61</v>
      </c>
      <c r="R32" s="12">
        <v>0</v>
      </c>
      <c r="S32" s="12">
        <v>28</v>
      </c>
      <c r="T32" s="12">
        <v>0</v>
      </c>
      <c r="U32" s="12">
        <v>33</v>
      </c>
      <c r="V32" s="12">
        <v>7808</v>
      </c>
      <c r="W32" s="12">
        <v>428</v>
      </c>
      <c r="X32" s="12">
        <v>6567</v>
      </c>
      <c r="Y32" s="12">
        <v>109</v>
      </c>
      <c r="Z32" s="12">
        <v>1087</v>
      </c>
      <c r="AA32" s="12">
        <v>6729</v>
      </c>
      <c r="AB32" s="12">
        <v>163</v>
      </c>
      <c r="AC32" s="12">
        <v>1079</v>
      </c>
      <c r="AD32" s="12">
        <v>265</v>
      </c>
      <c r="AE32" s="12">
        <v>162</v>
      </c>
      <c r="AF32" s="12">
        <v>54</v>
      </c>
      <c r="AG32" s="8">
        <f>IFERROR(Cleandata_table3[[#This Row],[Population 20 to 64 years below poverty]]/Cleandata_table3[[#This Row],[Population 20 to 64 years for whom poverty status is determined]],"")</f>
        <v>5.4815573770491802E-2</v>
      </c>
      <c r="AH32" s="8">
        <f>IFERROR(Cleandata_table3[[#This Row],[Population 20 to 64 years unemployed]]/Cleandata_table3[[#This Row],[Population 20 to 64 years in civilian labor force]],"")</f>
        <v>2.4074899687917966E-2</v>
      </c>
      <c r="AI32" s="8">
        <f>IFERROR(Cleandata_table3[[#This Row],[Population 20 to 64 years in civilian labor force]]/Cleandata_table3[[#This Row],[Population 20 to 64 years for whom poverty status is determined]],"")</f>
        <v>0.86180840163934425</v>
      </c>
      <c r="AJ32" s="10">
        <f>IFERROR(Cleandata_table3[[#This Row],[Families with income in the past 12 months below poverty level]]/Cleandata_table3[[#This Row],[Families for whom poverty status is determined]],"")</f>
        <v>1.9633086578693275E-2</v>
      </c>
      <c r="AK32" s="8">
        <f>IFERROR(Cleandata_table3[[#This Row],[Population 20 to 64 years employed]]/Cleandata_table3[[#This Row],[Population 20 to 64 years for whom poverty status is determined]],"")</f>
        <v>0.84106045081967218</v>
      </c>
      <c r="AL32" s="8">
        <f>IFERROR(Cleandata_table3[[#This Row],[Population 20 to 64 years not in labor force]]/Cleandata_table3[[#This Row],[Population 20 to 64 years for whom poverty status is determined]],"")</f>
        <v>0.13819159836065573</v>
      </c>
      <c r="AM32" s="10">
        <f>IFERROR(Cleandata_table3[[#This Row],[Married-couple family with related children of the householder under 18 years below poverty]]/Cleandata_table3[[#This Row],[Families for whom poverty status is determined]],"")</f>
        <v>0</v>
      </c>
      <c r="AN32" s="10">
        <f>IFERROR(Cleandata_table3[[#This Row],[Married-couple family without related children of the householder under 18 years below poverty]]/Cleandata_table3[[#This Row],[Families for whom poverty status is determined]],"")</f>
        <v>9.0119085934985514E-3</v>
      </c>
      <c r="AO32" s="10">
        <f>IFERROR(Cleandata_table3[[#This Row],[Single parents with related children of the householder under 18 years below poverty]]/Cleandata_table3[[#This Row],[Families for whom poverty status is determined]],"")</f>
        <v>0</v>
      </c>
      <c r="AP32" s="10">
        <f>IFERROR(Cleandata_table3[[#This Row],[Other family below poverty]]/Cleandata_table3[[#This Row],[Families for whom poverty status is determined]],"")</f>
        <v>1.0621177985194722E-2</v>
      </c>
      <c r="AQ32" s="6">
        <f>IFERROR(Cleandata_table3[[#This Row],[Population 16 years and over in civilian labor force unemployed]]/Cleandata_table3[[#This Row],[Population 16 years and over in civilian labor force]],"")</f>
        <v>2.6694619147449337E-2</v>
      </c>
      <c r="AR32" s="6">
        <f>IFERROR((Cleandata_table3[[#This Row],[Population 16 years and over in civilian labor force]]-Cleandata_table3[[#This Row],[Population 16 years and over in civilian labor force unemployed]])/Cleandata_table3[[#This Row],[Population 16 years and over]],"")</f>
        <v>0.66469409182017758</v>
      </c>
      <c r="AS32" s="6">
        <f>IFERROR(Cleandata_table3[[#This Row],[Population 16 years and over in civilian labor force]]/Cleandata_table3[[#This Row],[Population 16 years and over]],"")</f>
        <v>0.68292450128853677</v>
      </c>
      <c r="AT32" s="6">
        <f>IFERROR(Cleandata_table3[[#This Row],[Population 16 years and over not in labor force]]/Cleandata_table3[[#This Row],[Population 16 years and over]],"")</f>
        <v>0.31707549871146323</v>
      </c>
      <c r="AU32" t="str">
        <f>Cleandata_table3[[#This Row],[Neighborhood Name]]&amp; " | " &amp;Cleandata_table3[[#This Row],[Neighborhood Subtype]]</f>
        <v>Alki/Admiral | Southwest</v>
      </c>
      <c r="AV32" t="s">
        <v>107</v>
      </c>
    </row>
    <row r="33" spans="1:48" x14ac:dyDescent="0.35">
      <c r="A33" t="s">
        <v>145</v>
      </c>
      <c r="B33" t="s">
        <v>105</v>
      </c>
      <c r="C33" t="s">
        <v>146</v>
      </c>
      <c r="D33" s="12">
        <v>5273</v>
      </c>
      <c r="E33" s="12">
        <v>1280</v>
      </c>
      <c r="F33" s="12">
        <v>3933</v>
      </c>
      <c r="G33" s="12">
        <v>308</v>
      </c>
      <c r="H33" s="12">
        <v>5803</v>
      </c>
      <c r="I33" s="12">
        <v>305</v>
      </c>
      <c r="J33" s="12">
        <v>154</v>
      </c>
      <c r="K33" s="12">
        <v>58</v>
      </c>
      <c r="L33" s="12">
        <v>16</v>
      </c>
      <c r="M33" s="12">
        <v>352</v>
      </c>
      <c r="N33" s="12">
        <v>63</v>
      </c>
      <c r="O33" s="12">
        <v>4855</v>
      </c>
      <c r="P33" s="12">
        <v>1145</v>
      </c>
      <c r="Q33" s="12">
        <v>0</v>
      </c>
      <c r="R33" s="12">
        <v>0</v>
      </c>
      <c r="S33" s="12">
        <v>0</v>
      </c>
      <c r="T33" s="12">
        <v>0</v>
      </c>
      <c r="U33" s="12">
        <v>0</v>
      </c>
      <c r="V33" s="12">
        <v>4643</v>
      </c>
      <c r="W33" s="12">
        <v>436</v>
      </c>
      <c r="X33" s="12">
        <v>3574</v>
      </c>
      <c r="Y33" s="12">
        <v>64</v>
      </c>
      <c r="Z33" s="12">
        <v>948</v>
      </c>
      <c r="AA33" s="12">
        <v>3866</v>
      </c>
      <c r="AB33" s="12">
        <v>207</v>
      </c>
      <c r="AC33" s="12">
        <v>717</v>
      </c>
      <c r="AD33" s="12">
        <v>229</v>
      </c>
      <c r="AE33" s="12">
        <v>292</v>
      </c>
      <c r="AF33" s="12">
        <v>143</v>
      </c>
      <c r="AG33" s="8">
        <f>IFERROR(Cleandata_table3[[#This Row],[Population 20 to 64 years below poverty]]/Cleandata_table3[[#This Row],[Population 20 to 64 years for whom poverty status is determined]],"")</f>
        <v>9.3904802929140635E-2</v>
      </c>
      <c r="AH33" s="8">
        <f>IFERROR(Cleandata_table3[[#This Row],[Population 20 to 64 years unemployed]]/Cleandata_table3[[#This Row],[Population 20 to 64 years in civilian labor force]],"")</f>
        <v>7.5530263838592862E-2</v>
      </c>
      <c r="AI33" s="8">
        <f>IFERROR(Cleandata_table3[[#This Row],[Population 20 to 64 years in civilian labor force]]/Cleandata_table3[[#This Row],[Population 20 to 64 years for whom poverty status is determined]],"")</f>
        <v>0.83265130303682966</v>
      </c>
      <c r="AJ33" s="10">
        <f>IFERROR(Cleandata_table3[[#This Row],[Families with income in the past 12 months below poverty level]]/Cleandata_table3[[#This Row],[Families for whom poverty status is determined]],"")</f>
        <v>0</v>
      </c>
      <c r="AK33" s="8">
        <f>IFERROR(Cleandata_table3[[#This Row],[Population 20 to 64 years employed]]/Cleandata_table3[[#This Row],[Population 20 to 64 years for whom poverty status is determined]],"")</f>
        <v>0.76976093043290972</v>
      </c>
      <c r="AL33" s="8">
        <f>IFERROR(Cleandata_table3[[#This Row],[Population 20 to 64 years not in labor force]]/Cleandata_table3[[#This Row],[Population 20 to 64 years for whom poverty status is determined]],"")</f>
        <v>0.15442601766099504</v>
      </c>
      <c r="AM33" s="10">
        <f>IFERROR(Cleandata_table3[[#This Row],[Married-couple family with related children of the householder under 18 years below poverty]]/Cleandata_table3[[#This Row],[Families for whom poverty status is determined]],"")</f>
        <v>0</v>
      </c>
      <c r="AN33" s="10">
        <f>IFERROR(Cleandata_table3[[#This Row],[Married-couple family without related children of the householder under 18 years below poverty]]/Cleandata_table3[[#This Row],[Families for whom poverty status is determined]],"")</f>
        <v>0</v>
      </c>
      <c r="AO33" s="10">
        <f>IFERROR(Cleandata_table3[[#This Row],[Single parents with related children of the householder under 18 years below poverty]]/Cleandata_table3[[#This Row],[Families for whom poverty status is determined]],"")</f>
        <v>0</v>
      </c>
      <c r="AP33" s="10">
        <f>IFERROR(Cleandata_table3[[#This Row],[Other family below poverty]]/Cleandata_table3[[#This Row],[Families for whom poverty status is determined]],"")</f>
        <v>0</v>
      </c>
      <c r="AQ33" s="6">
        <f>IFERROR(Cleandata_table3[[#This Row],[Population 16 years and over in civilian labor force unemployed]]/Cleandata_table3[[#This Row],[Population 16 years and over in civilian labor force]],"")</f>
        <v>7.83117213323163E-2</v>
      </c>
      <c r="AR33" s="6">
        <f>IFERROR((Cleandata_table3[[#This Row],[Population 16 years and over in civilian labor force]]-Cleandata_table3[[#This Row],[Population 16 years and over in civilian labor force unemployed]])/Cleandata_table3[[#This Row],[Population 16 years and over]],"")</f>
        <v>0.68746444149440544</v>
      </c>
      <c r="AS33" s="6">
        <f>IFERROR(Cleandata_table3[[#This Row],[Population 16 years and over in civilian labor force]]/Cleandata_table3[[#This Row],[Population 16 years and over]],"")</f>
        <v>0.74587521335103357</v>
      </c>
      <c r="AT33" s="6">
        <f>IFERROR(Cleandata_table3[[#This Row],[Population 16 years and over not in labor force]]/Cleandata_table3[[#This Row],[Population 16 years and over]],"")</f>
        <v>0.24274606485871419</v>
      </c>
      <c r="AU33" t="str">
        <f>Cleandata_table3[[#This Row],[Neighborhood Name]]&amp; " | " &amp;Cleandata_table3[[#This Row],[Neighborhood Subtype]]</f>
        <v>North Delridge | Delridge Neighborhoods</v>
      </c>
      <c r="AV33" t="s">
        <v>107</v>
      </c>
    </row>
    <row r="34" spans="1:48" x14ac:dyDescent="0.35">
      <c r="A34" t="s">
        <v>147</v>
      </c>
      <c r="B34" t="s">
        <v>105</v>
      </c>
      <c r="C34" t="s">
        <v>146</v>
      </c>
      <c r="D34" s="12">
        <v>7061</v>
      </c>
      <c r="E34" s="12">
        <v>2276</v>
      </c>
      <c r="F34" s="12">
        <v>4785</v>
      </c>
      <c r="G34" s="12">
        <v>195</v>
      </c>
      <c r="H34" s="12">
        <v>9132</v>
      </c>
      <c r="I34" s="12">
        <v>596</v>
      </c>
      <c r="J34" s="12">
        <v>644</v>
      </c>
      <c r="K34" s="12">
        <v>1097</v>
      </c>
      <c r="L34" s="12">
        <v>391</v>
      </c>
      <c r="M34" s="12">
        <v>313</v>
      </c>
      <c r="N34" s="12">
        <v>131</v>
      </c>
      <c r="O34" s="12">
        <v>5960</v>
      </c>
      <c r="P34" s="12">
        <v>2273</v>
      </c>
      <c r="Q34" s="12">
        <v>196</v>
      </c>
      <c r="R34" s="12">
        <v>58</v>
      </c>
      <c r="S34" s="12">
        <v>22</v>
      </c>
      <c r="T34" s="12">
        <v>60</v>
      </c>
      <c r="U34" s="12">
        <v>56</v>
      </c>
      <c r="V34" s="12">
        <v>5964</v>
      </c>
      <c r="W34" s="12">
        <v>682</v>
      </c>
      <c r="X34" s="12">
        <v>4448</v>
      </c>
      <c r="Y34" s="12">
        <v>110</v>
      </c>
      <c r="Z34" s="12">
        <v>3172</v>
      </c>
      <c r="AA34" s="12">
        <v>4632</v>
      </c>
      <c r="AB34" s="12">
        <v>160</v>
      </c>
      <c r="AC34" s="12">
        <v>1332</v>
      </c>
      <c r="AD34" s="12">
        <v>522</v>
      </c>
      <c r="AE34" s="12">
        <v>184</v>
      </c>
      <c r="AF34" s="12">
        <v>50</v>
      </c>
      <c r="AG34" s="8">
        <f>IFERROR(Cleandata_table3[[#This Row],[Population 20 to 64 years below poverty]]/Cleandata_table3[[#This Row],[Population 20 to 64 years for whom poverty status is determined]],"")</f>
        <v>0.11435278336686787</v>
      </c>
      <c r="AH34" s="8">
        <f>IFERROR(Cleandata_table3[[#This Row],[Population 20 to 64 years unemployed]]/Cleandata_table3[[#This Row],[Population 20 to 64 years in civilian labor force]],"")</f>
        <v>3.9723661485319514E-2</v>
      </c>
      <c r="AI34" s="8">
        <f>IFERROR(Cleandata_table3[[#This Row],[Population 20 to 64 years in civilian labor force]]/Cleandata_table3[[#This Row],[Population 20 to 64 years for whom poverty status is determined]],"")</f>
        <v>0.77665995975855129</v>
      </c>
      <c r="AJ34" s="10">
        <f>IFERROR(Cleandata_table3[[#This Row],[Families with income in the past 12 months below poverty level]]/Cleandata_table3[[#This Row],[Families for whom poverty status is determined]],"")</f>
        <v>8.6229652441706994E-2</v>
      </c>
      <c r="AK34" s="8">
        <f>IFERROR(Cleandata_table3[[#This Row],[Population 20 to 64 years employed]]/Cleandata_table3[[#This Row],[Population 20 to 64 years for whom poverty status is determined]],"")</f>
        <v>0.7458081824279007</v>
      </c>
      <c r="AL34" s="8">
        <f>IFERROR(Cleandata_table3[[#This Row],[Population 20 to 64 years not in labor force]]/Cleandata_table3[[#This Row],[Population 20 to 64 years for whom poverty status is determined]],"")</f>
        <v>0.22334004024144868</v>
      </c>
      <c r="AM34" s="10">
        <f>IFERROR(Cleandata_table3[[#This Row],[Married-couple family with related children of the householder under 18 years below poverty]]/Cleandata_table3[[#This Row],[Families for whom poverty status is determined]],"")</f>
        <v>2.5516937967443906E-2</v>
      </c>
      <c r="AN34" s="10">
        <f>IFERROR(Cleandata_table3[[#This Row],[Married-couple family without related children of the householder under 18 years below poverty]]/Cleandata_table3[[#This Row],[Families for whom poverty status is determined]],"")</f>
        <v>9.6788385393752757E-3</v>
      </c>
      <c r="AO34" s="10">
        <f>IFERROR(Cleandata_table3[[#This Row],[Single parents with related children of the householder under 18 years below poverty]]/Cleandata_table3[[#This Row],[Families for whom poverty status is determined]],"")</f>
        <v>2.6396832380114386E-2</v>
      </c>
      <c r="AP34" s="10">
        <f>IFERROR(Cleandata_table3[[#This Row],[Other family below poverty]]/Cleandata_table3[[#This Row],[Families for whom poverty status is determined]],"")</f>
        <v>2.4637043554773426E-2</v>
      </c>
      <c r="AQ34" s="6">
        <f>IFERROR(Cleandata_table3[[#This Row],[Population 16 years and over in civilian labor force unemployed]]/Cleandata_table3[[#This Row],[Population 16 years and over in civilian labor force]],"")</f>
        <v>4.0752351097178681E-2</v>
      </c>
      <c r="AR34" s="6">
        <f>IFERROR((Cleandata_table3[[#This Row],[Population 16 years and over in civilian labor force]]-Cleandata_table3[[#This Row],[Population 16 years and over in civilian labor force unemployed]])/Cleandata_table3[[#This Row],[Population 16 years and over]],"")</f>
        <v>0.65004956804985126</v>
      </c>
      <c r="AS34" s="6">
        <f>IFERROR(Cleandata_table3[[#This Row],[Population 16 years and over in civilian labor force]]/Cleandata_table3[[#This Row],[Population 16 years and over]],"")</f>
        <v>0.67766605296700189</v>
      </c>
      <c r="AT34" s="6">
        <f>IFERROR(Cleandata_table3[[#This Row],[Population 16 years and over not in labor force]]/Cleandata_table3[[#This Row],[Population 16 years and over]],"")</f>
        <v>0.32233394703299817</v>
      </c>
      <c r="AU34" t="str">
        <f>Cleandata_table3[[#This Row],[Neighborhood Name]]&amp; " | " &amp;Cleandata_table3[[#This Row],[Neighborhood Subtype]]</f>
        <v>High Point | Delridge Neighborhoods</v>
      </c>
      <c r="AV34" t="s">
        <v>107</v>
      </c>
    </row>
    <row r="35" spans="1:48" x14ac:dyDescent="0.35">
      <c r="A35" t="s">
        <v>148</v>
      </c>
      <c r="B35" t="s">
        <v>105</v>
      </c>
      <c r="C35" t="s">
        <v>146</v>
      </c>
      <c r="D35" s="12">
        <v>4058</v>
      </c>
      <c r="E35" s="12">
        <v>812</v>
      </c>
      <c r="F35" s="12">
        <v>3246</v>
      </c>
      <c r="G35" s="12">
        <v>83</v>
      </c>
      <c r="H35" s="12">
        <v>5014</v>
      </c>
      <c r="I35" s="12">
        <v>262</v>
      </c>
      <c r="J35" s="12">
        <v>88</v>
      </c>
      <c r="K35" s="12">
        <v>0</v>
      </c>
      <c r="L35" s="12">
        <v>15</v>
      </c>
      <c r="M35" s="12">
        <v>202</v>
      </c>
      <c r="N35" s="12">
        <v>33</v>
      </c>
      <c r="O35" s="12">
        <v>4414</v>
      </c>
      <c r="P35" s="12">
        <v>1220</v>
      </c>
      <c r="Q35" s="12">
        <v>44</v>
      </c>
      <c r="R35" s="12">
        <v>0</v>
      </c>
      <c r="S35" s="12">
        <v>0</v>
      </c>
      <c r="T35" s="12">
        <v>44</v>
      </c>
      <c r="U35" s="12">
        <v>0</v>
      </c>
      <c r="V35" s="12">
        <v>3446</v>
      </c>
      <c r="W35" s="12">
        <v>166</v>
      </c>
      <c r="X35" s="12">
        <v>3023</v>
      </c>
      <c r="Y35" s="12">
        <v>90</v>
      </c>
      <c r="Z35" s="12">
        <v>600</v>
      </c>
      <c r="AA35" s="12">
        <v>3098</v>
      </c>
      <c r="AB35" s="12">
        <v>105</v>
      </c>
      <c r="AC35" s="12">
        <v>348</v>
      </c>
      <c r="AD35" s="12">
        <v>61</v>
      </c>
      <c r="AE35" s="12">
        <v>75</v>
      </c>
      <c r="AF35" s="12">
        <v>15</v>
      </c>
      <c r="AG35" s="8">
        <f>IFERROR(Cleandata_table3[[#This Row],[Population 20 to 64 years below poverty]]/Cleandata_table3[[#This Row],[Population 20 to 64 years for whom poverty status is determined]],"")</f>
        <v>4.8171793383633199E-2</v>
      </c>
      <c r="AH35" s="8">
        <f>IFERROR(Cleandata_table3[[#This Row],[Population 20 to 64 years unemployed]]/Cleandata_table3[[#This Row],[Population 20 to 64 years in civilian labor force]],"")</f>
        <v>2.420916720464816E-2</v>
      </c>
      <c r="AI35" s="8">
        <f>IFERROR(Cleandata_table3[[#This Row],[Population 20 to 64 years in civilian labor force]]/Cleandata_table3[[#This Row],[Population 20 to 64 years for whom poverty status is determined]],"")</f>
        <v>0.89901334881021477</v>
      </c>
      <c r="AJ35" s="10">
        <f>IFERROR(Cleandata_table3[[#This Row],[Families with income in the past 12 months below poverty level]]/Cleandata_table3[[#This Row],[Families for whom poverty status is determined]],"")</f>
        <v>3.6065573770491806E-2</v>
      </c>
      <c r="AK35" s="8">
        <f>IFERROR(Cleandata_table3[[#This Row],[Population 20 to 64 years employed]]/Cleandata_table3[[#This Row],[Population 20 to 64 years for whom poverty status is determined]],"")</f>
        <v>0.87724898432965759</v>
      </c>
      <c r="AL35" s="8">
        <f>IFERROR(Cleandata_table3[[#This Row],[Population 20 to 64 years not in labor force]]/Cleandata_table3[[#This Row],[Population 20 to 64 years for whom poverty status is determined]],"")</f>
        <v>0.10098665118978525</v>
      </c>
      <c r="AM35" s="10">
        <f>IFERROR(Cleandata_table3[[#This Row],[Married-couple family with related children of the householder under 18 years below poverty]]/Cleandata_table3[[#This Row],[Families for whom poverty status is determined]],"")</f>
        <v>0</v>
      </c>
      <c r="AN35" s="10">
        <f>IFERROR(Cleandata_table3[[#This Row],[Married-couple family without related children of the householder under 18 years below poverty]]/Cleandata_table3[[#This Row],[Families for whom poverty status is determined]],"")</f>
        <v>0</v>
      </c>
      <c r="AO35" s="10">
        <f>IFERROR(Cleandata_table3[[#This Row],[Single parents with related children of the householder under 18 years below poverty]]/Cleandata_table3[[#This Row],[Families for whom poverty status is determined]],"")</f>
        <v>3.6065573770491806E-2</v>
      </c>
      <c r="AP35" s="10">
        <f>IFERROR(Cleandata_table3[[#This Row],[Other family below poverty]]/Cleandata_table3[[#This Row],[Families for whom poverty status is determined]],"")</f>
        <v>0</v>
      </c>
      <c r="AQ35" s="6">
        <f>IFERROR(Cleandata_table3[[#This Row],[Population 16 years and over in civilian labor force unemployed]]/Cleandata_table3[[#This Row],[Population 16 years and over in civilian labor force]],"")</f>
        <v>2.5569932224276032E-2</v>
      </c>
      <c r="AR35" s="6">
        <f>IFERROR((Cleandata_table3[[#This Row],[Population 16 years and over in civilian labor force]]-Cleandata_table3[[#This Row],[Population 16 years and over in civilian labor force unemployed]])/Cleandata_table3[[#This Row],[Population 16 years and over]],"")</f>
        <v>0.77944800394282898</v>
      </c>
      <c r="AS35" s="6">
        <f>IFERROR(Cleandata_table3[[#This Row],[Population 16 years and over in civilian labor force]]/Cleandata_table3[[#This Row],[Population 16 years and over]],"")</f>
        <v>0.79990142927550523</v>
      </c>
      <c r="AT35" s="6">
        <f>IFERROR(Cleandata_table3[[#This Row],[Population 16 years and over not in labor force]]/Cleandata_table3[[#This Row],[Population 16 years and over]],"")</f>
        <v>0.20009857072449483</v>
      </c>
      <c r="AU35" t="str">
        <f>Cleandata_table3[[#This Row],[Neighborhood Name]]&amp; " | " &amp;Cleandata_table3[[#This Row],[Neighborhood Subtype]]</f>
        <v>Riverview | Delridge Neighborhoods</v>
      </c>
      <c r="AV35" t="s">
        <v>107</v>
      </c>
    </row>
    <row r="36" spans="1:48" x14ac:dyDescent="0.35">
      <c r="A36" t="s">
        <v>149</v>
      </c>
      <c r="B36" t="s">
        <v>105</v>
      </c>
      <c r="C36" t="s">
        <v>146</v>
      </c>
      <c r="D36" s="12">
        <v>11901</v>
      </c>
      <c r="E36" s="12">
        <v>2825</v>
      </c>
      <c r="F36" s="12">
        <v>9056</v>
      </c>
      <c r="G36" s="12">
        <v>446</v>
      </c>
      <c r="H36" s="12">
        <v>13846</v>
      </c>
      <c r="I36" s="12">
        <v>605</v>
      </c>
      <c r="J36" s="12">
        <v>643</v>
      </c>
      <c r="K36" s="12">
        <v>336</v>
      </c>
      <c r="L36" s="12">
        <v>162</v>
      </c>
      <c r="M36" s="12">
        <v>395</v>
      </c>
      <c r="N36" s="12">
        <v>248</v>
      </c>
      <c r="O36" s="12">
        <v>11457</v>
      </c>
      <c r="P36" s="12">
        <v>3303</v>
      </c>
      <c r="Q36" s="12">
        <v>161</v>
      </c>
      <c r="R36" s="12">
        <v>18</v>
      </c>
      <c r="S36" s="12">
        <v>13</v>
      </c>
      <c r="T36" s="12">
        <v>98</v>
      </c>
      <c r="U36" s="12">
        <v>32</v>
      </c>
      <c r="V36" s="12">
        <v>9750</v>
      </c>
      <c r="W36" s="12">
        <v>838</v>
      </c>
      <c r="X36" s="12">
        <v>8232</v>
      </c>
      <c r="Y36" s="12">
        <v>145</v>
      </c>
      <c r="Z36" s="12">
        <v>2389</v>
      </c>
      <c r="AA36" s="12">
        <v>8579</v>
      </c>
      <c r="AB36" s="12">
        <v>300</v>
      </c>
      <c r="AC36" s="12">
        <v>1151</v>
      </c>
      <c r="AD36" s="12">
        <v>538</v>
      </c>
      <c r="AE36" s="12">
        <v>347</v>
      </c>
      <c r="AF36" s="12">
        <v>155</v>
      </c>
      <c r="AG36" s="8">
        <f>IFERROR(Cleandata_table3[[#This Row],[Population 20 to 64 years below poverty]]/Cleandata_table3[[#This Row],[Population 20 to 64 years for whom poverty status is determined]],"")</f>
        <v>8.5948717948717945E-2</v>
      </c>
      <c r="AH36" s="8">
        <f>IFERROR(Cleandata_table3[[#This Row],[Population 20 to 64 years unemployed]]/Cleandata_table3[[#This Row],[Population 20 to 64 years in civilian labor force]],"")</f>
        <v>4.0447604615922603E-2</v>
      </c>
      <c r="AI36" s="8">
        <f>IFERROR(Cleandata_table3[[#This Row],[Population 20 to 64 years in civilian labor force]]/Cleandata_table3[[#This Row],[Population 20 to 64 years for whom poverty status is determined]],"")</f>
        <v>0.87989743589743585</v>
      </c>
      <c r="AJ36" s="10">
        <f>IFERROR(Cleandata_table3[[#This Row],[Families with income in the past 12 months below poverty level]]/Cleandata_table3[[#This Row],[Families for whom poverty status is determined]],"")</f>
        <v>4.8743566454738117E-2</v>
      </c>
      <c r="AK36" s="8">
        <f>IFERROR(Cleandata_table3[[#This Row],[Population 20 to 64 years employed]]/Cleandata_table3[[#This Row],[Population 20 to 64 years for whom poverty status is determined]],"")</f>
        <v>0.84430769230769231</v>
      </c>
      <c r="AL36" s="8">
        <f>IFERROR(Cleandata_table3[[#This Row],[Population 20 to 64 years not in labor force]]/Cleandata_table3[[#This Row],[Population 20 to 64 years for whom poverty status is determined]],"")</f>
        <v>0.11805128205128206</v>
      </c>
      <c r="AM36" s="10">
        <f>IFERROR(Cleandata_table3[[#This Row],[Married-couple family with related children of the householder under 18 years below poverty]]/Cleandata_table3[[#This Row],[Families for whom poverty status is determined]],"")</f>
        <v>5.4495912806539508E-3</v>
      </c>
      <c r="AN36" s="10">
        <f>IFERROR(Cleandata_table3[[#This Row],[Married-couple family without related children of the householder under 18 years below poverty]]/Cleandata_table3[[#This Row],[Families for whom poverty status is determined]],"")</f>
        <v>3.9358159249167426E-3</v>
      </c>
      <c r="AO36" s="10">
        <f>IFERROR(Cleandata_table3[[#This Row],[Single parents with related children of the householder under 18 years below poverty]]/Cleandata_table3[[#This Row],[Families for whom poverty status is determined]],"")</f>
        <v>2.9669996972449288E-2</v>
      </c>
      <c r="AP36" s="10">
        <f>IFERROR(Cleandata_table3[[#This Row],[Other family below poverty]]/Cleandata_table3[[#This Row],[Families for whom poverty status is determined]],"")</f>
        <v>9.6881622767181347E-3</v>
      </c>
      <c r="AQ36" s="6">
        <f>IFERROR(Cleandata_table3[[#This Row],[Population 16 years and over in civilian labor force unemployed]]/Cleandata_table3[[#This Row],[Population 16 years and over in civilian labor force]],"")</f>
        <v>4.9249116607773855E-2</v>
      </c>
      <c r="AR36" s="6">
        <f>IFERROR((Cleandata_table3[[#This Row],[Population 16 years and over in civilian labor force]]-Cleandata_table3[[#This Row],[Population 16 years and over in civilian labor force unemployed]])/Cleandata_table3[[#This Row],[Population 16 years and over]],"")</f>
        <v>0.72346861608268209</v>
      </c>
      <c r="AS36" s="6">
        <f>IFERROR(Cleandata_table3[[#This Row],[Population 16 years and over in civilian labor force]]/Cleandata_table3[[#This Row],[Population 16 years and over]],"")</f>
        <v>0.76094445844886982</v>
      </c>
      <c r="AT36" s="6">
        <f>IFERROR(Cleandata_table3[[#This Row],[Population 16 years and over not in labor force]]/Cleandata_table3[[#This Row],[Population 16 years and over]],"")</f>
        <v>0.23737501050331905</v>
      </c>
      <c r="AU36" t="str">
        <f>Cleandata_table3[[#This Row],[Neighborhood Name]]&amp; " | " &amp;Cleandata_table3[[#This Row],[Neighborhood Subtype]]</f>
        <v>Roxhill/Westwood | Delridge Neighborhoods</v>
      </c>
      <c r="AV36" t="s">
        <v>107</v>
      </c>
    </row>
    <row r="37" spans="1:48" x14ac:dyDescent="0.35">
      <c r="A37" t="s">
        <v>150</v>
      </c>
      <c r="B37" t="s">
        <v>105</v>
      </c>
      <c r="C37" t="s">
        <v>146</v>
      </c>
      <c r="D37" s="12">
        <v>6775</v>
      </c>
      <c r="E37" s="12">
        <v>2242</v>
      </c>
      <c r="F37" s="12">
        <v>4517</v>
      </c>
      <c r="G37" s="12">
        <v>174</v>
      </c>
      <c r="H37" s="12">
        <v>8130</v>
      </c>
      <c r="I37" s="12">
        <v>369</v>
      </c>
      <c r="J37" s="12">
        <v>200</v>
      </c>
      <c r="K37" s="12">
        <v>238</v>
      </c>
      <c r="L37" s="12">
        <v>275</v>
      </c>
      <c r="M37" s="12">
        <v>653</v>
      </c>
      <c r="N37" s="12">
        <v>92</v>
      </c>
      <c r="O37" s="12">
        <v>6303</v>
      </c>
      <c r="P37" s="12">
        <v>1994</v>
      </c>
      <c r="Q37" s="12">
        <v>113</v>
      </c>
      <c r="R37" s="12">
        <v>0</v>
      </c>
      <c r="S37" s="12">
        <v>0</v>
      </c>
      <c r="T37" s="12">
        <v>33</v>
      </c>
      <c r="U37" s="12">
        <v>80</v>
      </c>
      <c r="V37" s="12">
        <v>5200</v>
      </c>
      <c r="W37" s="12">
        <v>390</v>
      </c>
      <c r="X37" s="12">
        <v>3985</v>
      </c>
      <c r="Y37" s="12">
        <v>148</v>
      </c>
      <c r="Z37" s="12">
        <v>1827</v>
      </c>
      <c r="AA37" s="12">
        <v>4145</v>
      </c>
      <c r="AB37" s="12">
        <v>157</v>
      </c>
      <c r="AC37" s="12">
        <v>1039</v>
      </c>
      <c r="AD37" s="12">
        <v>233</v>
      </c>
      <c r="AE37" s="12">
        <v>160</v>
      </c>
      <c r="AF37" s="12">
        <v>9</v>
      </c>
      <c r="AG37" s="8">
        <f>IFERROR(Cleandata_table3[[#This Row],[Population 20 to 64 years below poverty]]/Cleandata_table3[[#This Row],[Population 20 to 64 years for whom poverty status is determined]],"")</f>
        <v>7.4999999999999997E-2</v>
      </c>
      <c r="AH37" s="8">
        <f>IFERROR(Cleandata_table3[[#This Row],[Population 20 to 64 years unemployed]]/Cleandata_table3[[#This Row],[Population 20 to 64 years in civilian labor force]],"")</f>
        <v>3.8600723763570564E-2</v>
      </c>
      <c r="AI37" s="8">
        <f>IFERROR(Cleandata_table3[[#This Row],[Population 20 to 64 years in civilian labor force]]/Cleandata_table3[[#This Row],[Population 20 to 64 years for whom poverty status is determined]],"")</f>
        <v>0.79711538461538467</v>
      </c>
      <c r="AJ37" s="10">
        <f>IFERROR(Cleandata_table3[[#This Row],[Families with income in the past 12 months below poverty level]]/Cleandata_table3[[#This Row],[Families for whom poverty status is determined]],"")</f>
        <v>5.667001003009027E-2</v>
      </c>
      <c r="AK37" s="8">
        <f>IFERROR(Cleandata_table3[[#This Row],[Population 20 to 64 years employed]]/Cleandata_table3[[#This Row],[Population 20 to 64 years for whom poverty status is determined]],"")</f>
        <v>0.7663461538461539</v>
      </c>
      <c r="AL37" s="8">
        <f>IFERROR(Cleandata_table3[[#This Row],[Population 20 to 64 years not in labor force]]/Cleandata_table3[[#This Row],[Population 20 to 64 years for whom poverty status is determined]],"")</f>
        <v>0.1998076923076923</v>
      </c>
      <c r="AM37" s="10">
        <f>IFERROR(Cleandata_table3[[#This Row],[Married-couple family with related children of the householder under 18 years below poverty]]/Cleandata_table3[[#This Row],[Families for whom poverty status is determined]],"")</f>
        <v>0</v>
      </c>
      <c r="AN37" s="10">
        <f>IFERROR(Cleandata_table3[[#This Row],[Married-couple family without related children of the householder under 18 years below poverty]]/Cleandata_table3[[#This Row],[Families for whom poverty status is determined]],"")</f>
        <v>0</v>
      </c>
      <c r="AO37" s="10">
        <f>IFERROR(Cleandata_table3[[#This Row],[Single parents with related children of the householder under 18 years below poverty]]/Cleandata_table3[[#This Row],[Families for whom poverty status is determined]],"")</f>
        <v>1.6549648946840523E-2</v>
      </c>
      <c r="AP37" s="10">
        <f>IFERROR(Cleandata_table3[[#This Row],[Other family below poverty]]/Cleandata_table3[[#This Row],[Families for whom poverty status is determined]],"")</f>
        <v>4.0120361083249748E-2</v>
      </c>
      <c r="AQ37" s="6">
        <f>IFERROR(Cleandata_table3[[#This Row],[Population 16 years and over in civilian labor force unemployed]]/Cleandata_table3[[#This Row],[Population 16 years and over in civilian labor force]],"")</f>
        <v>3.8521142351117997E-2</v>
      </c>
      <c r="AR37" s="6">
        <f>IFERROR((Cleandata_table3[[#This Row],[Population 16 years and over in civilian labor force]]-Cleandata_table3[[#This Row],[Population 16 years and over in civilian labor force unemployed]])/Cleandata_table3[[#This Row],[Population 16 years and over]],"")</f>
        <v>0.64103321033210336</v>
      </c>
      <c r="AS37" s="6">
        <f>IFERROR(Cleandata_table3[[#This Row],[Population 16 years and over in civilian labor force]]/Cleandata_table3[[#This Row],[Population 16 years and over]],"")</f>
        <v>0.66671586715867159</v>
      </c>
      <c r="AT37" s="6">
        <f>IFERROR(Cleandata_table3[[#This Row],[Population 16 years and over not in labor force]]/Cleandata_table3[[#This Row],[Population 16 years and over]],"")</f>
        <v>0.33092250922509225</v>
      </c>
      <c r="AU37" t="str">
        <f>Cleandata_table3[[#This Row],[Neighborhood Name]]&amp; " | " &amp;Cleandata_table3[[#This Row],[Neighborhood Subtype]]</f>
        <v>Highland Park | Delridge Neighborhoods</v>
      </c>
      <c r="AV37" t="s">
        <v>107</v>
      </c>
    </row>
    <row r="38" spans="1:48" x14ac:dyDescent="0.35">
      <c r="A38" t="s">
        <v>151</v>
      </c>
      <c r="B38" t="s">
        <v>105</v>
      </c>
      <c r="C38" t="s">
        <v>152</v>
      </c>
      <c r="D38" s="12">
        <v>3281</v>
      </c>
      <c r="E38" s="12">
        <v>793</v>
      </c>
      <c r="F38" s="12">
        <v>2401</v>
      </c>
      <c r="G38" s="12">
        <v>160</v>
      </c>
      <c r="H38" s="12">
        <v>4003</v>
      </c>
      <c r="I38" s="12">
        <v>323</v>
      </c>
      <c r="J38" s="12">
        <v>558</v>
      </c>
      <c r="K38" s="12">
        <v>198</v>
      </c>
      <c r="L38" s="12">
        <v>362</v>
      </c>
      <c r="M38" s="12">
        <v>172</v>
      </c>
      <c r="N38" s="12">
        <v>9</v>
      </c>
      <c r="O38" s="12">
        <v>2381</v>
      </c>
      <c r="P38" s="12">
        <v>900</v>
      </c>
      <c r="Q38" s="12">
        <v>162</v>
      </c>
      <c r="R38" s="12">
        <v>52</v>
      </c>
      <c r="S38" s="12">
        <v>0</v>
      </c>
      <c r="T38" s="12">
        <v>101</v>
      </c>
      <c r="U38" s="12">
        <v>9</v>
      </c>
      <c r="V38" s="12">
        <v>2651</v>
      </c>
      <c r="W38" s="12">
        <v>470</v>
      </c>
      <c r="X38" s="12">
        <v>2062</v>
      </c>
      <c r="Y38" s="12">
        <v>205</v>
      </c>
      <c r="Z38" s="12">
        <v>1622</v>
      </c>
      <c r="AA38" s="12">
        <v>2222</v>
      </c>
      <c r="AB38" s="12">
        <v>255</v>
      </c>
      <c r="AC38" s="12">
        <v>342</v>
      </c>
      <c r="AD38" s="12">
        <v>215</v>
      </c>
      <c r="AE38" s="12">
        <v>160</v>
      </c>
      <c r="AF38" s="12">
        <v>50</v>
      </c>
      <c r="AG38" s="8">
        <f>IFERROR(Cleandata_table3[[#This Row],[Population 20 to 64 years below poverty]]/Cleandata_table3[[#This Row],[Population 20 to 64 years for whom poverty status is determined]],"")</f>
        <v>0.17729158807996984</v>
      </c>
      <c r="AH38" s="8">
        <f>IFERROR(Cleandata_table3[[#This Row],[Population 20 to 64 years unemployed]]/Cleandata_table3[[#This Row],[Population 20 to 64 years in civilian labor force]],"")</f>
        <v>7.2007200720072009E-2</v>
      </c>
      <c r="AI38" s="8">
        <f>IFERROR(Cleandata_table3[[#This Row],[Population 20 to 64 years in civilian labor force]]/Cleandata_table3[[#This Row],[Population 20 to 64 years for whom poverty status is determined]],"")</f>
        <v>0.83817427385892118</v>
      </c>
      <c r="AJ38" s="10">
        <f>IFERROR(Cleandata_table3[[#This Row],[Families with income in the past 12 months below poverty level]]/Cleandata_table3[[#This Row],[Families for whom poverty status is determined]],"")</f>
        <v>0.18</v>
      </c>
      <c r="AK38" s="8">
        <f>IFERROR(Cleandata_table3[[#This Row],[Population 20 to 64 years employed]]/Cleandata_table3[[#This Row],[Population 20 to 64 years for whom poverty status is determined]],"")</f>
        <v>0.77781969068276124</v>
      </c>
      <c r="AL38" s="8">
        <f>IFERROR(Cleandata_table3[[#This Row],[Population 20 to 64 years not in labor force]]/Cleandata_table3[[#This Row],[Population 20 to 64 years for whom poverty status is determined]],"")</f>
        <v>0.12900792153904186</v>
      </c>
      <c r="AM38" s="10">
        <f>IFERROR(Cleandata_table3[[#This Row],[Married-couple family with related children of the householder under 18 years below poverty]]/Cleandata_table3[[#This Row],[Families for whom poverty status is determined]],"")</f>
        <v>5.7777777777777775E-2</v>
      </c>
      <c r="AN38" s="10">
        <f>IFERROR(Cleandata_table3[[#This Row],[Married-couple family without related children of the householder under 18 years below poverty]]/Cleandata_table3[[#This Row],[Families for whom poverty status is determined]],"")</f>
        <v>0</v>
      </c>
      <c r="AO38" s="10">
        <f>IFERROR(Cleandata_table3[[#This Row],[Single parents with related children of the householder under 18 years below poverty]]/Cleandata_table3[[#This Row],[Families for whom poverty status is determined]],"")</f>
        <v>0.11222222222222222</v>
      </c>
      <c r="AP38" s="10">
        <f>IFERROR(Cleandata_table3[[#This Row],[Other family below poverty]]/Cleandata_table3[[#This Row],[Families for whom poverty status is determined]],"")</f>
        <v>0.01</v>
      </c>
      <c r="AQ38" s="6">
        <f>IFERROR(Cleandata_table3[[#This Row],[Population 16 years and over in civilian labor force unemployed]]/Cleandata_table3[[#This Row],[Population 16 years and over in civilian labor force]],"")</f>
        <v>6.6638900458142442E-2</v>
      </c>
      <c r="AR38" s="6">
        <f>IFERROR((Cleandata_table3[[#This Row],[Population 16 years and over in civilian labor force]]-Cleandata_table3[[#This Row],[Population 16 years and over in civilian labor force unemployed]])/Cleandata_table3[[#This Row],[Population 16 years and over]],"")</f>
        <v>0.68302346845473938</v>
      </c>
      <c r="AS38" s="6">
        <f>IFERROR(Cleandata_table3[[#This Row],[Population 16 years and over in civilian labor force]]/Cleandata_table3[[#This Row],[Population 16 years and over]],"")</f>
        <v>0.73178908869247183</v>
      </c>
      <c r="AT38" s="6">
        <f>IFERROR(Cleandata_table3[[#This Row],[Population 16 years and over not in labor force]]/Cleandata_table3[[#This Row],[Population 16 years and over]],"")</f>
        <v>0.2416946053032612</v>
      </c>
      <c r="AU38" t="str">
        <f>Cleandata_table3[[#This Row],[Neighborhood Name]]&amp; " | " &amp;Cleandata_table3[[#This Row],[Neighborhood Subtype]]</f>
        <v>South Park | Greater Duwamish</v>
      </c>
      <c r="AV38" t="s">
        <v>107</v>
      </c>
    </row>
    <row r="39" spans="1:48" x14ac:dyDescent="0.35">
      <c r="A39" t="s">
        <v>153</v>
      </c>
      <c r="B39" t="s">
        <v>105</v>
      </c>
      <c r="C39" t="s">
        <v>152</v>
      </c>
      <c r="D39" s="12">
        <v>1066</v>
      </c>
      <c r="E39" s="12">
        <v>167</v>
      </c>
      <c r="F39" s="12">
        <v>899</v>
      </c>
      <c r="G39" s="12">
        <v>6</v>
      </c>
      <c r="H39" s="12">
        <v>1181</v>
      </c>
      <c r="I39" s="12">
        <v>12</v>
      </c>
      <c r="J39" s="12">
        <v>103</v>
      </c>
      <c r="K39" s="12">
        <v>53</v>
      </c>
      <c r="L39" s="12">
        <v>5</v>
      </c>
      <c r="M39" s="12">
        <v>53</v>
      </c>
      <c r="N39" s="12">
        <v>31</v>
      </c>
      <c r="O39" s="12">
        <v>924</v>
      </c>
      <c r="P39" s="12">
        <v>178</v>
      </c>
      <c r="Q39" s="12">
        <v>0</v>
      </c>
      <c r="R39" s="12">
        <v>0</v>
      </c>
      <c r="S39" s="12">
        <v>0</v>
      </c>
      <c r="T39" s="12">
        <v>0</v>
      </c>
      <c r="U39" s="12">
        <v>0</v>
      </c>
      <c r="V39" s="12">
        <v>902</v>
      </c>
      <c r="W39" s="12">
        <v>107</v>
      </c>
      <c r="X39" s="12">
        <v>848</v>
      </c>
      <c r="Y39" s="12">
        <v>101</v>
      </c>
      <c r="Z39" s="12">
        <v>257</v>
      </c>
      <c r="AA39" s="12">
        <v>854</v>
      </c>
      <c r="AB39" s="12">
        <v>101</v>
      </c>
      <c r="AC39" s="12">
        <v>48</v>
      </c>
      <c r="AD39" s="12">
        <v>6</v>
      </c>
      <c r="AE39" s="12">
        <v>6</v>
      </c>
      <c r="AF39" s="12">
        <v>0</v>
      </c>
      <c r="AG39" s="8">
        <f>IFERROR(Cleandata_table3[[#This Row],[Population 20 to 64 years below poverty]]/Cleandata_table3[[#This Row],[Population 20 to 64 years for whom poverty status is determined]],"")</f>
        <v>0.11862527716186252</v>
      </c>
      <c r="AH39" s="8">
        <f>IFERROR(Cleandata_table3[[#This Row],[Population 20 to 64 years unemployed]]/Cleandata_table3[[#This Row],[Population 20 to 64 years in civilian labor force]],"")</f>
        <v>7.0257611241217799E-3</v>
      </c>
      <c r="AI39" s="8">
        <f>IFERROR(Cleandata_table3[[#This Row],[Population 20 to 64 years in civilian labor force]]/Cleandata_table3[[#This Row],[Population 20 to 64 years for whom poverty status is determined]],"")</f>
        <v>0.94678492239467849</v>
      </c>
      <c r="AJ39" s="10">
        <f>IFERROR(Cleandata_table3[[#This Row],[Families with income in the past 12 months below poverty level]]/Cleandata_table3[[#This Row],[Families for whom poverty status is determined]],"")</f>
        <v>0</v>
      </c>
      <c r="AK39" s="8">
        <f>IFERROR(Cleandata_table3[[#This Row],[Population 20 to 64 years employed]]/Cleandata_table3[[#This Row],[Population 20 to 64 years for whom poverty status is determined]],"")</f>
        <v>0.94013303769401335</v>
      </c>
      <c r="AL39" s="8">
        <f>IFERROR(Cleandata_table3[[#This Row],[Population 20 to 64 years not in labor force]]/Cleandata_table3[[#This Row],[Population 20 to 64 years for whom poverty status is determined]],"")</f>
        <v>5.3215077605321508E-2</v>
      </c>
      <c r="AM39" s="10">
        <f>IFERROR(Cleandata_table3[[#This Row],[Married-couple family with related children of the householder under 18 years below poverty]]/Cleandata_table3[[#This Row],[Families for whom poverty status is determined]],"")</f>
        <v>0</v>
      </c>
      <c r="AN39" s="10">
        <f>IFERROR(Cleandata_table3[[#This Row],[Married-couple family without related children of the householder under 18 years below poverty]]/Cleandata_table3[[#This Row],[Families for whom poverty status is determined]],"")</f>
        <v>0</v>
      </c>
      <c r="AO39" s="10">
        <f>IFERROR(Cleandata_table3[[#This Row],[Single parents with related children of the householder under 18 years below poverty]]/Cleandata_table3[[#This Row],[Families for whom poverty status is determined]],"")</f>
        <v>0</v>
      </c>
      <c r="AP39" s="10">
        <f>IFERROR(Cleandata_table3[[#This Row],[Other family below poverty]]/Cleandata_table3[[#This Row],[Families for whom poverty status is determined]],"")</f>
        <v>0</v>
      </c>
      <c r="AQ39" s="6">
        <f>IFERROR(Cleandata_table3[[#This Row],[Population 16 years and over in civilian labor force unemployed]]/Cleandata_table3[[#This Row],[Population 16 years and over in civilian labor force]],"")</f>
        <v>6.6740823136818691E-3</v>
      </c>
      <c r="AR39" s="6">
        <f>IFERROR((Cleandata_table3[[#This Row],[Population 16 years and over in civilian labor force]]-Cleandata_table3[[#This Row],[Population 16 years and over in civilian labor force unemployed]])/Cleandata_table3[[#This Row],[Population 16 years and over]],"")</f>
        <v>0.83771106941838647</v>
      </c>
      <c r="AS39" s="6">
        <f>IFERROR(Cleandata_table3[[#This Row],[Population 16 years and over in civilian labor force]]/Cleandata_table3[[#This Row],[Population 16 years and over]],"")</f>
        <v>0.84333958724202629</v>
      </c>
      <c r="AT39" s="6">
        <f>IFERROR(Cleandata_table3[[#This Row],[Population 16 years and over not in labor force]]/Cleandata_table3[[#This Row],[Population 16 years and over]],"")</f>
        <v>0.15666041275797374</v>
      </c>
      <c r="AU39" t="str">
        <f>Cleandata_table3[[#This Row],[Neighborhood Name]]&amp; " | " &amp;Cleandata_table3[[#This Row],[Neighborhood Subtype]]</f>
        <v>Georgetown | Greater Duwamish</v>
      </c>
      <c r="AV39" t="s">
        <v>107</v>
      </c>
    </row>
    <row r="40" spans="1:48" x14ac:dyDescent="0.35">
      <c r="A40" t="s">
        <v>154</v>
      </c>
      <c r="B40" t="s">
        <v>105</v>
      </c>
      <c r="C40" t="s">
        <v>152</v>
      </c>
      <c r="D40" s="12">
        <v>3147</v>
      </c>
      <c r="E40" s="12">
        <v>636</v>
      </c>
      <c r="F40" s="12">
        <v>2317</v>
      </c>
      <c r="G40" s="12">
        <v>127</v>
      </c>
      <c r="H40" s="12">
        <v>3165</v>
      </c>
      <c r="I40" s="12">
        <v>239</v>
      </c>
      <c r="J40" s="12">
        <v>152</v>
      </c>
      <c r="K40" s="12">
        <v>24</v>
      </c>
      <c r="L40" s="12">
        <v>144</v>
      </c>
      <c r="M40" s="12">
        <v>67</v>
      </c>
      <c r="N40" s="12">
        <v>21</v>
      </c>
      <c r="O40" s="12">
        <v>2518</v>
      </c>
      <c r="P40" s="12">
        <v>612</v>
      </c>
      <c r="Q40" s="12">
        <v>7</v>
      </c>
      <c r="R40" s="12">
        <v>0</v>
      </c>
      <c r="S40" s="12">
        <v>0</v>
      </c>
      <c r="T40" s="12">
        <v>7</v>
      </c>
      <c r="U40" s="12">
        <v>0</v>
      </c>
      <c r="V40" s="12">
        <v>2387</v>
      </c>
      <c r="W40" s="12">
        <v>295</v>
      </c>
      <c r="X40" s="12">
        <v>1954</v>
      </c>
      <c r="Y40" s="12">
        <v>154</v>
      </c>
      <c r="Z40" s="12">
        <v>647</v>
      </c>
      <c r="AA40" s="12">
        <v>2081</v>
      </c>
      <c r="AB40" s="12">
        <v>208</v>
      </c>
      <c r="AC40" s="12">
        <v>293</v>
      </c>
      <c r="AD40" s="12">
        <v>87</v>
      </c>
      <c r="AE40" s="12">
        <v>127</v>
      </c>
      <c r="AF40" s="12">
        <v>54</v>
      </c>
      <c r="AG40" s="8">
        <f>IFERROR(Cleandata_table3[[#This Row],[Population 20 to 64 years below poverty]]/Cleandata_table3[[#This Row],[Population 20 to 64 years for whom poverty status is determined]],"")</f>
        <v>0.12358609132802681</v>
      </c>
      <c r="AH40" s="8">
        <f>IFERROR(Cleandata_table3[[#This Row],[Population 20 to 64 years unemployed]]/Cleandata_table3[[#This Row],[Population 20 to 64 years in civilian labor force]],"")</f>
        <v>6.1028351753964441E-2</v>
      </c>
      <c r="AI40" s="8">
        <f>IFERROR(Cleandata_table3[[#This Row],[Population 20 to 64 years in civilian labor force]]/Cleandata_table3[[#This Row],[Population 20 to 64 years for whom poverty status is determined]],"")</f>
        <v>0.87180561374109766</v>
      </c>
      <c r="AJ40" s="10">
        <f>IFERROR(Cleandata_table3[[#This Row],[Families with income in the past 12 months below poverty level]]/Cleandata_table3[[#This Row],[Families for whom poverty status is determined]],"")</f>
        <v>1.1437908496732025E-2</v>
      </c>
      <c r="AK40" s="8">
        <f>IFERROR(Cleandata_table3[[#This Row],[Population 20 to 64 years employed]]/Cleandata_table3[[#This Row],[Population 20 to 64 years for whom poverty status is determined]],"")</f>
        <v>0.81860075408462507</v>
      </c>
      <c r="AL40" s="8">
        <f>IFERROR(Cleandata_table3[[#This Row],[Population 20 to 64 years not in labor force]]/Cleandata_table3[[#This Row],[Population 20 to 64 years for whom poverty status is determined]],"")</f>
        <v>0.12274821952241308</v>
      </c>
      <c r="AM40" s="10">
        <f>IFERROR(Cleandata_table3[[#This Row],[Married-couple family with related children of the householder under 18 years below poverty]]/Cleandata_table3[[#This Row],[Families for whom poverty status is determined]],"")</f>
        <v>0</v>
      </c>
      <c r="AN40" s="10">
        <f>IFERROR(Cleandata_table3[[#This Row],[Married-couple family without related children of the householder under 18 years below poverty]]/Cleandata_table3[[#This Row],[Families for whom poverty status is determined]],"")</f>
        <v>0</v>
      </c>
      <c r="AO40" s="10">
        <f>IFERROR(Cleandata_table3[[#This Row],[Single parents with related children of the householder under 18 years below poverty]]/Cleandata_table3[[#This Row],[Families for whom poverty status is determined]],"")</f>
        <v>1.1437908496732025E-2</v>
      </c>
      <c r="AP40" s="10">
        <f>IFERROR(Cleandata_table3[[#This Row],[Other family below poverty]]/Cleandata_table3[[#This Row],[Families for whom poverty status is determined]],"")</f>
        <v>0</v>
      </c>
      <c r="AQ40" s="6">
        <f>IFERROR(Cleandata_table3[[#This Row],[Population 16 years and over in civilian labor force unemployed]]/Cleandata_table3[[#This Row],[Population 16 years and over in civilian labor force]],"")</f>
        <v>5.4812257229175661E-2</v>
      </c>
      <c r="AR40" s="6">
        <f>IFERROR((Cleandata_table3[[#This Row],[Population 16 years and over in civilian labor force]]-Cleandata_table3[[#This Row],[Population 16 years and over in civilian labor force unemployed]])/Cleandata_table3[[#This Row],[Population 16 years and over]],"")</f>
        <v>0.69590085795996182</v>
      </c>
      <c r="AS40" s="6">
        <f>IFERROR(Cleandata_table3[[#This Row],[Population 16 years and over in civilian labor force]]/Cleandata_table3[[#This Row],[Population 16 years and over]],"")</f>
        <v>0.73625675246266287</v>
      </c>
      <c r="AT40" s="6">
        <f>IFERROR(Cleandata_table3[[#This Row],[Population 16 years and over not in labor force]]/Cleandata_table3[[#This Row],[Population 16 years and over]],"")</f>
        <v>0.20209723546234509</v>
      </c>
      <c r="AU40" t="str">
        <f>Cleandata_table3[[#This Row],[Neighborhood Name]]&amp; " | " &amp;Cleandata_table3[[#This Row],[Neighborhood Subtype]]</f>
        <v>Duwamish/SODO | Greater Duwamish</v>
      </c>
      <c r="AV40" t="s">
        <v>107</v>
      </c>
    </row>
    <row r="41" spans="1:48" x14ac:dyDescent="0.35">
      <c r="A41" t="s">
        <v>155</v>
      </c>
      <c r="B41" t="s">
        <v>105</v>
      </c>
      <c r="C41" t="s">
        <v>152</v>
      </c>
      <c r="D41" s="12">
        <v>12998</v>
      </c>
      <c r="E41" s="12">
        <v>5002</v>
      </c>
      <c r="F41" s="12">
        <v>7979</v>
      </c>
      <c r="G41" s="12">
        <v>361</v>
      </c>
      <c r="H41" s="12">
        <v>15597</v>
      </c>
      <c r="I41" s="12">
        <v>1118</v>
      </c>
      <c r="J41" s="12">
        <v>2041</v>
      </c>
      <c r="K41" s="12">
        <v>1026</v>
      </c>
      <c r="L41" s="12">
        <v>506</v>
      </c>
      <c r="M41" s="12">
        <v>1065</v>
      </c>
      <c r="N41" s="12">
        <v>202</v>
      </c>
      <c r="O41" s="12">
        <v>9639</v>
      </c>
      <c r="P41" s="12">
        <v>3290</v>
      </c>
      <c r="Q41" s="12">
        <v>472</v>
      </c>
      <c r="R41" s="12">
        <v>171</v>
      </c>
      <c r="S41" s="12">
        <v>133</v>
      </c>
      <c r="T41" s="12">
        <v>126</v>
      </c>
      <c r="U41" s="12">
        <v>42</v>
      </c>
      <c r="V41" s="12">
        <v>9459</v>
      </c>
      <c r="W41" s="12">
        <v>1482</v>
      </c>
      <c r="X41" s="12">
        <v>6967</v>
      </c>
      <c r="Y41" s="12">
        <v>362</v>
      </c>
      <c r="Z41" s="12">
        <v>5958</v>
      </c>
      <c r="AA41" s="12">
        <v>7238</v>
      </c>
      <c r="AB41" s="12">
        <v>460</v>
      </c>
      <c r="AC41" s="12">
        <v>2204</v>
      </c>
      <c r="AD41" s="12">
        <v>1022</v>
      </c>
      <c r="AE41" s="12">
        <v>271</v>
      </c>
      <c r="AF41" s="12">
        <v>98</v>
      </c>
      <c r="AG41" s="8">
        <f>IFERROR(Cleandata_table3[[#This Row],[Population 20 to 64 years below poverty]]/Cleandata_table3[[#This Row],[Population 20 to 64 years for whom poverty status is determined]],"")</f>
        <v>0.15667618141452586</v>
      </c>
      <c r="AH41" s="8">
        <f>IFERROR(Cleandata_table3[[#This Row],[Population 20 to 64 years unemployed]]/Cleandata_table3[[#This Row],[Population 20 to 64 years in civilian labor force]],"")</f>
        <v>3.7441282122133185E-2</v>
      </c>
      <c r="AI41" s="8">
        <f>IFERROR(Cleandata_table3[[#This Row],[Population 20 to 64 years in civilian labor force]]/Cleandata_table3[[#This Row],[Population 20 to 64 years for whom poverty status is determined]],"")</f>
        <v>0.76519716671952642</v>
      </c>
      <c r="AJ41" s="10">
        <f>IFERROR(Cleandata_table3[[#This Row],[Families with income in the past 12 months below poverty level]]/Cleandata_table3[[#This Row],[Families for whom poverty status is determined]],"")</f>
        <v>0.14346504559270518</v>
      </c>
      <c r="AK41" s="8">
        <f>IFERROR(Cleandata_table3[[#This Row],[Population 20 to 64 years employed]]/Cleandata_table3[[#This Row],[Population 20 to 64 years for whom poverty status is determined]],"")</f>
        <v>0.73654720372132365</v>
      </c>
      <c r="AL41" s="8">
        <f>IFERROR(Cleandata_table3[[#This Row],[Population 20 to 64 years not in labor force]]/Cleandata_table3[[#This Row],[Population 20 to 64 years for whom poverty status is determined]],"")</f>
        <v>0.23300560312929486</v>
      </c>
      <c r="AM41" s="10">
        <f>IFERROR(Cleandata_table3[[#This Row],[Married-couple family with related children of the householder under 18 years below poverty]]/Cleandata_table3[[#This Row],[Families for whom poverty status is determined]],"")</f>
        <v>5.1975683890577509E-2</v>
      </c>
      <c r="AN41" s="10">
        <f>IFERROR(Cleandata_table3[[#This Row],[Married-couple family without related children of the householder under 18 years below poverty]]/Cleandata_table3[[#This Row],[Families for whom poverty status is determined]],"")</f>
        <v>4.042553191489362E-2</v>
      </c>
      <c r="AO41" s="10">
        <f>IFERROR(Cleandata_table3[[#This Row],[Single parents with related children of the householder under 18 years below poverty]]/Cleandata_table3[[#This Row],[Families for whom poverty status is determined]],"")</f>
        <v>3.8297872340425532E-2</v>
      </c>
      <c r="AP41" s="10">
        <f>IFERROR(Cleandata_table3[[#This Row],[Other family below poverty]]/Cleandata_table3[[#This Row],[Families for whom poverty status is determined]],"")</f>
        <v>1.276595744680851E-2</v>
      </c>
      <c r="AQ41" s="6">
        <f>IFERROR(Cleandata_table3[[#This Row],[Population 16 years and over in civilian labor force unemployed]]/Cleandata_table3[[#This Row],[Population 16 years and over in civilian labor force]],"")</f>
        <v>4.5243764882817394E-2</v>
      </c>
      <c r="AR41" s="6">
        <f>IFERROR((Cleandata_table3[[#This Row],[Population 16 years and over in civilian labor force]]-Cleandata_table3[[#This Row],[Population 16 years and over in civilian labor force unemployed]])/Cleandata_table3[[#This Row],[Population 16 years and over]],"")</f>
        <v>0.58609016771811051</v>
      </c>
      <c r="AS41" s="6">
        <f>IFERROR(Cleandata_table3[[#This Row],[Population 16 years and over in civilian labor force]]/Cleandata_table3[[#This Row],[Population 16 years and over]],"")</f>
        <v>0.6138636713340514</v>
      </c>
      <c r="AT41" s="6">
        <f>IFERROR(Cleandata_table3[[#This Row],[Population 16 years and over not in labor force]]/Cleandata_table3[[#This Row],[Population 16 years and over]],"")</f>
        <v>0.38482843514386827</v>
      </c>
      <c r="AU41" t="str">
        <f>Cleandata_table3[[#This Row],[Neighborhood Name]]&amp; " | " &amp;Cleandata_table3[[#This Row],[Neighborhood Subtype]]</f>
        <v>South Beacon Hill/NewHolly | Greater Duwamish</v>
      </c>
      <c r="AV41" t="s">
        <v>107</v>
      </c>
    </row>
    <row r="42" spans="1:48" x14ac:dyDescent="0.35">
      <c r="A42" t="s">
        <v>156</v>
      </c>
      <c r="B42" t="s">
        <v>105</v>
      </c>
      <c r="C42" t="s">
        <v>152</v>
      </c>
      <c r="D42" s="12">
        <v>7651</v>
      </c>
      <c r="E42" s="12">
        <v>2567</v>
      </c>
      <c r="F42" s="12">
        <v>5084</v>
      </c>
      <c r="G42" s="12">
        <v>90</v>
      </c>
      <c r="H42" s="12">
        <v>9301</v>
      </c>
      <c r="I42" s="12">
        <v>395</v>
      </c>
      <c r="J42" s="12">
        <v>586</v>
      </c>
      <c r="K42" s="12">
        <v>303</v>
      </c>
      <c r="L42" s="12">
        <v>117</v>
      </c>
      <c r="M42" s="12">
        <v>429</v>
      </c>
      <c r="N42" s="12">
        <v>43</v>
      </c>
      <c r="O42" s="12">
        <v>7428</v>
      </c>
      <c r="P42" s="12">
        <v>2195</v>
      </c>
      <c r="Q42" s="12">
        <v>219</v>
      </c>
      <c r="R42" s="12">
        <v>73</v>
      </c>
      <c r="S42" s="12">
        <v>112</v>
      </c>
      <c r="T42" s="12">
        <v>34</v>
      </c>
      <c r="U42" s="12">
        <v>0</v>
      </c>
      <c r="V42" s="12">
        <v>5605</v>
      </c>
      <c r="W42" s="12">
        <v>459</v>
      </c>
      <c r="X42" s="12">
        <v>4552</v>
      </c>
      <c r="Y42" s="12">
        <v>249</v>
      </c>
      <c r="Z42" s="12">
        <v>1873</v>
      </c>
      <c r="AA42" s="12">
        <v>4635</v>
      </c>
      <c r="AB42" s="12">
        <v>268</v>
      </c>
      <c r="AC42" s="12">
        <v>970</v>
      </c>
      <c r="AD42" s="12">
        <v>191</v>
      </c>
      <c r="AE42" s="12">
        <v>83</v>
      </c>
      <c r="AF42" s="12">
        <v>19</v>
      </c>
      <c r="AG42" s="8">
        <f>IFERROR(Cleandata_table3[[#This Row],[Population 20 to 64 years below poverty]]/Cleandata_table3[[#This Row],[Population 20 to 64 years for whom poverty status is determined]],"")</f>
        <v>8.189116859946477E-2</v>
      </c>
      <c r="AH42" s="8">
        <f>IFERROR(Cleandata_table3[[#This Row],[Population 20 to 64 years unemployed]]/Cleandata_table3[[#This Row],[Population 20 to 64 years in civilian labor force]],"")</f>
        <v>1.7907227615965481E-2</v>
      </c>
      <c r="AI42" s="8">
        <f>IFERROR(Cleandata_table3[[#This Row],[Population 20 to 64 years in civilian labor force]]/Cleandata_table3[[#This Row],[Population 20 to 64 years for whom poverty status is determined]],"")</f>
        <v>0.8269402319357716</v>
      </c>
      <c r="AJ42" s="10">
        <f>IFERROR(Cleandata_table3[[#This Row],[Families with income in the past 12 months below poverty level]]/Cleandata_table3[[#This Row],[Families for whom poverty status is determined]],"")</f>
        <v>9.9772209567198178E-2</v>
      </c>
      <c r="AK42" s="8">
        <f>IFERROR(Cleandata_table3[[#This Row],[Population 20 to 64 years employed]]/Cleandata_table3[[#This Row],[Population 20 to 64 years for whom poverty status is determined]],"")</f>
        <v>0.81213202497769843</v>
      </c>
      <c r="AL42" s="8">
        <f>IFERROR(Cleandata_table3[[#This Row],[Population 20 to 64 years not in labor force]]/Cleandata_table3[[#This Row],[Population 20 to 64 years for whom poverty status is determined]],"")</f>
        <v>0.17305976806422838</v>
      </c>
      <c r="AM42" s="10">
        <f>IFERROR(Cleandata_table3[[#This Row],[Married-couple family with related children of the householder under 18 years below poverty]]/Cleandata_table3[[#This Row],[Families for whom poverty status is determined]],"")</f>
        <v>3.3257403189066059E-2</v>
      </c>
      <c r="AN42" s="10">
        <f>IFERROR(Cleandata_table3[[#This Row],[Married-couple family without related children of the householder under 18 years below poverty]]/Cleandata_table3[[#This Row],[Families for whom poverty status is determined]],"")</f>
        <v>5.1025056947608199E-2</v>
      </c>
      <c r="AO42" s="10">
        <f>IFERROR(Cleandata_table3[[#This Row],[Single parents with related children of the householder under 18 years below poverty]]/Cleandata_table3[[#This Row],[Families for whom poverty status is determined]],"")</f>
        <v>1.5489749430523917E-2</v>
      </c>
      <c r="AP42" s="10">
        <f>IFERROR(Cleandata_table3[[#This Row],[Other family below poverty]]/Cleandata_table3[[#This Row],[Families for whom poverty status is determined]],"")</f>
        <v>0</v>
      </c>
      <c r="AQ42" s="6">
        <f>IFERROR(Cleandata_table3[[#This Row],[Population 16 years and over in civilian labor force unemployed]]/Cleandata_table3[[#This Row],[Population 16 years and over in civilian labor force]],"")</f>
        <v>1.7702596380802519E-2</v>
      </c>
      <c r="AR42" s="6">
        <f>IFERROR((Cleandata_table3[[#This Row],[Population 16 years and over in civilian labor force]]-Cleandata_table3[[#This Row],[Population 16 years and over in civilian labor force unemployed]])/Cleandata_table3[[#This Row],[Population 16 years and over]],"")</f>
        <v>0.65272513396941578</v>
      </c>
      <c r="AS42" s="6">
        <f>IFERROR(Cleandata_table3[[#This Row],[Population 16 years and over in civilian labor force]]/Cleandata_table3[[#This Row],[Population 16 years and over]],"")</f>
        <v>0.66448830218272126</v>
      </c>
      <c r="AT42" s="6">
        <f>IFERROR(Cleandata_table3[[#This Row],[Population 16 years and over not in labor force]]/Cleandata_table3[[#This Row],[Population 16 years and over]],"")</f>
        <v>0.3355116978172788</v>
      </c>
      <c r="AU42" t="str">
        <f>Cleandata_table3[[#This Row],[Neighborhood Name]]&amp; " | " &amp;Cleandata_table3[[#This Row],[Neighborhood Subtype]]</f>
        <v>Beacon Hill | Greater Duwamish</v>
      </c>
      <c r="AV42" t="s">
        <v>107</v>
      </c>
    </row>
    <row r="43" spans="1:48" x14ac:dyDescent="0.35">
      <c r="A43" t="s">
        <v>157</v>
      </c>
      <c r="B43" t="s">
        <v>105</v>
      </c>
      <c r="C43" t="s">
        <v>152</v>
      </c>
      <c r="D43" s="12">
        <v>13743</v>
      </c>
      <c r="E43" s="12">
        <v>3562</v>
      </c>
      <c r="F43" s="12">
        <v>10167</v>
      </c>
      <c r="G43" s="12">
        <v>305</v>
      </c>
      <c r="H43" s="12">
        <v>15184</v>
      </c>
      <c r="I43" s="12">
        <v>756</v>
      </c>
      <c r="J43" s="12">
        <v>992</v>
      </c>
      <c r="K43" s="12">
        <v>603</v>
      </c>
      <c r="L43" s="12">
        <v>313</v>
      </c>
      <c r="M43" s="12">
        <v>422</v>
      </c>
      <c r="N43" s="12">
        <v>213</v>
      </c>
      <c r="O43" s="12">
        <v>11885</v>
      </c>
      <c r="P43" s="12">
        <v>3550</v>
      </c>
      <c r="Q43" s="12">
        <v>311</v>
      </c>
      <c r="R43" s="12">
        <v>58</v>
      </c>
      <c r="S43" s="12">
        <v>107</v>
      </c>
      <c r="T43" s="12">
        <v>98</v>
      </c>
      <c r="U43" s="12">
        <v>48</v>
      </c>
      <c r="V43" s="12">
        <v>10785</v>
      </c>
      <c r="W43" s="12">
        <v>1050</v>
      </c>
      <c r="X43" s="12">
        <v>9045</v>
      </c>
      <c r="Y43" s="12">
        <v>481</v>
      </c>
      <c r="Z43" s="12">
        <v>3299</v>
      </c>
      <c r="AA43" s="12">
        <v>9312</v>
      </c>
      <c r="AB43" s="12">
        <v>645</v>
      </c>
      <c r="AC43" s="12">
        <v>1459</v>
      </c>
      <c r="AD43" s="12">
        <v>405</v>
      </c>
      <c r="AE43" s="12">
        <v>267</v>
      </c>
      <c r="AF43" s="12">
        <v>164</v>
      </c>
      <c r="AG43" s="8">
        <f>IFERROR(Cleandata_table3[[#This Row],[Population 20 to 64 years below poverty]]/Cleandata_table3[[#This Row],[Population 20 to 64 years for whom poverty status is determined]],"")</f>
        <v>9.7357440890125171E-2</v>
      </c>
      <c r="AH43" s="8">
        <f>IFERROR(Cleandata_table3[[#This Row],[Population 20 to 64 years unemployed]]/Cleandata_table3[[#This Row],[Population 20 to 64 years in civilian labor force]],"")</f>
        <v>2.8672680412371133E-2</v>
      </c>
      <c r="AI43" s="8">
        <f>IFERROR(Cleandata_table3[[#This Row],[Population 20 to 64 years in civilian labor force]]/Cleandata_table3[[#This Row],[Population 20 to 64 years for whom poverty status is determined]],"")</f>
        <v>0.86342141863699584</v>
      </c>
      <c r="AJ43" s="10">
        <f>IFERROR(Cleandata_table3[[#This Row],[Families with income in the past 12 months below poverty level]]/Cleandata_table3[[#This Row],[Families for whom poverty status is determined]],"")</f>
        <v>8.7605633802816898E-2</v>
      </c>
      <c r="AK43" s="8">
        <f>IFERROR(Cleandata_table3[[#This Row],[Population 20 to 64 years employed]]/Cleandata_table3[[#This Row],[Population 20 to 64 years for whom poverty status is determined]],"")</f>
        <v>0.83866481223922118</v>
      </c>
      <c r="AL43" s="8">
        <f>IFERROR(Cleandata_table3[[#This Row],[Population 20 to 64 years not in labor force]]/Cleandata_table3[[#This Row],[Population 20 to 64 years for whom poverty status is determined]],"")</f>
        <v>0.13528048215113583</v>
      </c>
      <c r="AM43" s="10">
        <f>IFERROR(Cleandata_table3[[#This Row],[Married-couple family with related children of the householder under 18 years below poverty]]/Cleandata_table3[[#This Row],[Families for whom poverty status is determined]],"")</f>
        <v>1.6338028169014085E-2</v>
      </c>
      <c r="AN43" s="10">
        <f>IFERROR(Cleandata_table3[[#This Row],[Married-couple family without related children of the householder under 18 years below poverty]]/Cleandata_table3[[#This Row],[Families for whom poverty status is determined]],"")</f>
        <v>3.0140845070422535E-2</v>
      </c>
      <c r="AO43" s="10">
        <f>IFERROR(Cleandata_table3[[#This Row],[Single parents with related children of the householder under 18 years below poverty]]/Cleandata_table3[[#This Row],[Families for whom poverty status is determined]],"")</f>
        <v>2.7605633802816901E-2</v>
      </c>
      <c r="AP43" s="10">
        <f>IFERROR(Cleandata_table3[[#This Row],[Other family below poverty]]/Cleandata_table3[[#This Row],[Families for whom poverty status is determined]],"")</f>
        <v>1.3521126760563381E-2</v>
      </c>
      <c r="AQ43" s="6">
        <f>IFERROR(Cleandata_table3[[#This Row],[Population 16 years and over in civilian labor force unemployed]]/Cleandata_table3[[#This Row],[Population 16 years and over in civilian labor force]],"")</f>
        <v>2.9999016425690962E-2</v>
      </c>
      <c r="AR43" s="6">
        <f>IFERROR((Cleandata_table3[[#This Row],[Population 16 years and over in civilian labor force]]-Cleandata_table3[[#This Row],[Population 16 years and over in civilian labor force unemployed]])/Cleandata_table3[[#This Row],[Population 16 years and over]],"")</f>
        <v>0.71760168813213998</v>
      </c>
      <c r="AS43" s="6">
        <f>IFERROR(Cleandata_table3[[#This Row],[Population 16 years and over in civilian labor force]]/Cleandata_table3[[#This Row],[Population 16 years and over]],"")</f>
        <v>0.73979480462781055</v>
      </c>
      <c r="AT43" s="6">
        <f>IFERROR(Cleandata_table3[[#This Row],[Population 16 years and over not in labor force]]/Cleandata_table3[[#This Row],[Population 16 years and over]],"")</f>
        <v>0.25918649494287999</v>
      </c>
      <c r="AU43" t="str">
        <f>Cleandata_table3[[#This Row],[Neighborhood Name]]&amp; " | " &amp;Cleandata_table3[[#This Row],[Neighborhood Subtype]]</f>
        <v>North Beacon Hill/Jefferson Park | Greater Duwamish</v>
      </c>
      <c r="AV43" t="s">
        <v>107</v>
      </c>
    </row>
    <row r="44" spans="1:48" x14ac:dyDescent="0.35">
      <c r="A44" t="s">
        <v>158</v>
      </c>
      <c r="B44" t="s">
        <v>105</v>
      </c>
      <c r="C44" t="s">
        <v>159</v>
      </c>
      <c r="D44" s="12">
        <v>12990</v>
      </c>
      <c r="E44" s="12">
        <v>3817</v>
      </c>
      <c r="F44" s="12">
        <v>9139</v>
      </c>
      <c r="G44" s="12">
        <v>401</v>
      </c>
      <c r="H44" s="12">
        <v>15864</v>
      </c>
      <c r="I44" s="12">
        <v>1139</v>
      </c>
      <c r="J44" s="12">
        <v>1140</v>
      </c>
      <c r="K44" s="12">
        <v>829</v>
      </c>
      <c r="L44" s="12">
        <v>416</v>
      </c>
      <c r="M44" s="12">
        <v>708</v>
      </c>
      <c r="N44" s="12">
        <v>113</v>
      </c>
      <c r="O44" s="12">
        <v>11519</v>
      </c>
      <c r="P44" s="12">
        <v>3845</v>
      </c>
      <c r="Q44" s="12">
        <v>388</v>
      </c>
      <c r="R44" s="12">
        <v>47</v>
      </c>
      <c r="S44" s="12">
        <v>27</v>
      </c>
      <c r="T44" s="12">
        <v>230</v>
      </c>
      <c r="U44" s="12">
        <v>84</v>
      </c>
      <c r="V44" s="12">
        <v>10249</v>
      </c>
      <c r="W44" s="12">
        <v>1223</v>
      </c>
      <c r="X44" s="12">
        <v>7998</v>
      </c>
      <c r="Y44" s="12">
        <v>641</v>
      </c>
      <c r="Z44" s="12">
        <v>4345</v>
      </c>
      <c r="AA44" s="12">
        <v>8387</v>
      </c>
      <c r="AB44" s="12">
        <v>826</v>
      </c>
      <c r="AC44" s="12">
        <v>1828</v>
      </c>
      <c r="AD44" s="12">
        <v>374</v>
      </c>
      <c r="AE44" s="12">
        <v>389</v>
      </c>
      <c r="AF44" s="12">
        <v>185</v>
      </c>
      <c r="AG44" s="8">
        <f>IFERROR(Cleandata_table3[[#This Row],[Population 20 to 64 years below poverty]]/Cleandata_table3[[#This Row],[Population 20 to 64 years for whom poverty status is determined]],"")</f>
        <v>0.11932871499658504</v>
      </c>
      <c r="AH44" s="8">
        <f>IFERROR(Cleandata_table3[[#This Row],[Population 20 to 64 years unemployed]]/Cleandata_table3[[#This Row],[Population 20 to 64 years in civilian labor force]],"")</f>
        <v>4.6381304399666153E-2</v>
      </c>
      <c r="AI44" s="8">
        <f>IFERROR(Cleandata_table3[[#This Row],[Population 20 to 64 years in civilian labor force]]/Cleandata_table3[[#This Row],[Population 20 to 64 years for whom poverty status is determined]],"")</f>
        <v>0.81832373890135623</v>
      </c>
      <c r="AJ44" s="10">
        <f>IFERROR(Cleandata_table3[[#This Row],[Families with income in the past 12 months below poverty level]]/Cleandata_table3[[#This Row],[Families for whom poverty status is determined]],"")</f>
        <v>0.10091027308192457</v>
      </c>
      <c r="AK44" s="8">
        <f>IFERROR(Cleandata_table3[[#This Row],[Population 20 to 64 years employed]]/Cleandata_table3[[#This Row],[Population 20 to 64 years for whom poverty status is determined]],"")</f>
        <v>0.78036881646989953</v>
      </c>
      <c r="AL44" s="8">
        <f>IFERROR(Cleandata_table3[[#This Row],[Population 20 to 64 years not in labor force]]/Cleandata_table3[[#This Row],[Population 20 to 64 years for whom poverty status is determined]],"")</f>
        <v>0.17835886427944189</v>
      </c>
      <c r="AM44" s="10">
        <f>IFERROR(Cleandata_table3[[#This Row],[Married-couple family with related children of the householder under 18 years below poverty]]/Cleandata_table3[[#This Row],[Families for whom poverty status is determined]],"")</f>
        <v>1.2223667100130039E-2</v>
      </c>
      <c r="AN44" s="10">
        <f>IFERROR(Cleandata_table3[[#This Row],[Married-couple family without related children of the householder under 18 years below poverty]]/Cleandata_table3[[#This Row],[Families for whom poverty status is determined]],"")</f>
        <v>7.0221066319895971E-3</v>
      </c>
      <c r="AO44" s="10">
        <f>IFERROR(Cleandata_table3[[#This Row],[Single parents with related children of the householder under 18 years below poverty]]/Cleandata_table3[[#This Row],[Families for whom poverty status is determined]],"")</f>
        <v>5.9817945383615082E-2</v>
      </c>
      <c r="AP44" s="10">
        <f>IFERROR(Cleandata_table3[[#This Row],[Other family below poverty]]/Cleandata_table3[[#This Row],[Families for whom poverty status is determined]],"")</f>
        <v>2.1846553966189858E-2</v>
      </c>
      <c r="AQ44" s="6">
        <f>IFERROR(Cleandata_table3[[#This Row],[Population 16 years and over in civilian labor force unemployed]]/Cleandata_table3[[#This Row],[Population 16 years and over in civilian labor force]],"")</f>
        <v>4.3877885983149144E-2</v>
      </c>
      <c r="AR44" s="6">
        <f>IFERROR((Cleandata_table3[[#This Row],[Population 16 years and over in civilian labor force]]-Cleandata_table3[[#This Row],[Population 16 years and over in civilian labor force unemployed]])/Cleandata_table3[[#This Row],[Population 16 years and over]],"")</f>
        <v>0.672671285604311</v>
      </c>
      <c r="AS44" s="6">
        <f>IFERROR(Cleandata_table3[[#This Row],[Population 16 years and over in civilian labor force]]/Cleandata_table3[[#This Row],[Population 16 years and over]],"")</f>
        <v>0.70354118552732869</v>
      </c>
      <c r="AT44" s="6">
        <f>IFERROR(Cleandata_table3[[#This Row],[Population 16 years and over not in labor force]]/Cleandata_table3[[#This Row],[Population 16 years and over]],"")</f>
        <v>0.29384141647421091</v>
      </c>
      <c r="AU44" t="str">
        <f>Cleandata_table3[[#This Row],[Neighborhood Name]]&amp; " | " &amp;Cleandata_table3[[#This Row],[Neighborhood Subtype]]</f>
        <v>Rainier Beach | Southeast</v>
      </c>
      <c r="AV44" t="s">
        <v>107</v>
      </c>
    </row>
    <row r="45" spans="1:48" x14ac:dyDescent="0.35">
      <c r="A45" t="s">
        <v>160</v>
      </c>
      <c r="B45" t="s">
        <v>105</v>
      </c>
      <c r="C45" t="s">
        <v>159</v>
      </c>
      <c r="D45" s="12">
        <v>17537</v>
      </c>
      <c r="E45" s="12">
        <v>4634</v>
      </c>
      <c r="F45" s="12">
        <v>12903</v>
      </c>
      <c r="G45" s="12">
        <v>244</v>
      </c>
      <c r="H45" s="12">
        <v>21059</v>
      </c>
      <c r="I45" s="12">
        <v>1311</v>
      </c>
      <c r="J45" s="12">
        <v>1376</v>
      </c>
      <c r="K45" s="12">
        <v>429</v>
      </c>
      <c r="L45" s="12">
        <v>400</v>
      </c>
      <c r="M45" s="12">
        <v>410</v>
      </c>
      <c r="N45" s="12">
        <v>333</v>
      </c>
      <c r="O45" s="12">
        <v>16800</v>
      </c>
      <c r="P45" s="12">
        <v>4750</v>
      </c>
      <c r="Q45" s="12">
        <v>343</v>
      </c>
      <c r="R45" s="12">
        <v>47</v>
      </c>
      <c r="S45" s="12">
        <v>44</v>
      </c>
      <c r="T45" s="12">
        <v>181</v>
      </c>
      <c r="U45" s="12">
        <v>71</v>
      </c>
      <c r="V45" s="12">
        <v>14288</v>
      </c>
      <c r="W45" s="12">
        <v>1166</v>
      </c>
      <c r="X45" s="12">
        <v>11916</v>
      </c>
      <c r="Y45" s="12">
        <v>468</v>
      </c>
      <c r="Z45" s="12">
        <v>4259</v>
      </c>
      <c r="AA45" s="12">
        <v>12127</v>
      </c>
      <c r="AB45" s="12">
        <v>507</v>
      </c>
      <c r="AC45" s="12">
        <v>2161</v>
      </c>
      <c r="AD45" s="12">
        <v>659</v>
      </c>
      <c r="AE45" s="12">
        <v>211</v>
      </c>
      <c r="AF45" s="12">
        <v>39</v>
      </c>
      <c r="AG45" s="8">
        <f>IFERROR(Cleandata_table3[[#This Row],[Population 20 to 64 years below poverty]]/Cleandata_table3[[#This Row],[Population 20 to 64 years for whom poverty status is determined]],"")</f>
        <v>8.1606942889137737E-2</v>
      </c>
      <c r="AH45" s="8">
        <f>IFERROR(Cleandata_table3[[#This Row],[Population 20 to 64 years unemployed]]/Cleandata_table3[[#This Row],[Population 20 to 64 years in civilian labor force]],"")</f>
        <v>1.7399191885874497E-2</v>
      </c>
      <c r="AI45" s="8">
        <f>IFERROR(Cleandata_table3[[#This Row],[Population 20 to 64 years in civilian labor force]]/Cleandata_table3[[#This Row],[Population 20 to 64 years for whom poverty status is determined]],"")</f>
        <v>0.84875419932810747</v>
      </c>
      <c r="AJ45" s="10">
        <f>IFERROR(Cleandata_table3[[#This Row],[Families with income in the past 12 months below poverty level]]/Cleandata_table3[[#This Row],[Families for whom poverty status is determined]],"")</f>
        <v>7.2210526315789475E-2</v>
      </c>
      <c r="AK45" s="8">
        <f>IFERROR(Cleandata_table3[[#This Row],[Population 20 to 64 years employed]]/Cleandata_table3[[#This Row],[Population 20 to 64 years for whom poverty status is determined]],"")</f>
        <v>0.83398656215005595</v>
      </c>
      <c r="AL45" s="8">
        <f>IFERROR(Cleandata_table3[[#This Row],[Population 20 to 64 years not in labor force]]/Cleandata_table3[[#This Row],[Population 20 to 64 years for whom poverty status is determined]],"")</f>
        <v>0.1512458006718925</v>
      </c>
      <c r="AM45" s="10">
        <f>IFERROR(Cleandata_table3[[#This Row],[Married-couple family with related children of the householder under 18 years below poverty]]/Cleandata_table3[[#This Row],[Families for whom poverty status is determined]],"")</f>
        <v>9.8947368421052635E-3</v>
      </c>
      <c r="AN45" s="10">
        <f>IFERROR(Cleandata_table3[[#This Row],[Married-couple family without related children of the householder under 18 years below poverty]]/Cleandata_table3[[#This Row],[Families for whom poverty status is determined]],"")</f>
        <v>9.2631578947368429E-3</v>
      </c>
      <c r="AO45" s="10">
        <f>IFERROR(Cleandata_table3[[#This Row],[Single parents with related children of the householder under 18 years below poverty]]/Cleandata_table3[[#This Row],[Families for whom poverty status is determined]],"")</f>
        <v>3.8105263157894739E-2</v>
      </c>
      <c r="AP45" s="10">
        <f>IFERROR(Cleandata_table3[[#This Row],[Other family below poverty]]/Cleandata_table3[[#This Row],[Families for whom poverty status is determined]],"")</f>
        <v>1.4947368421052631E-2</v>
      </c>
      <c r="AQ45" s="6">
        <f>IFERROR(Cleandata_table3[[#This Row],[Population 16 years and over in civilian labor force unemployed]]/Cleandata_table3[[#This Row],[Population 16 years and over in civilian labor force]],"")</f>
        <v>1.8910330930791287E-2</v>
      </c>
      <c r="AR45" s="6">
        <f>IFERROR((Cleandata_table3[[#This Row],[Population 16 years and over in civilian labor force]]-Cleandata_table3[[#This Row],[Population 16 years and over in civilian labor force unemployed]])/Cleandata_table3[[#This Row],[Population 16 years and over]],"")</f>
        <v>0.72184524148942242</v>
      </c>
      <c r="AS45" s="6">
        <f>IFERROR(Cleandata_table3[[#This Row],[Population 16 years and over in civilian labor force]]/Cleandata_table3[[#This Row],[Population 16 years and over]],"")</f>
        <v>0.73575868164452296</v>
      </c>
      <c r="AT45" s="6">
        <f>IFERROR(Cleandata_table3[[#This Row],[Population 16 years and over not in labor force]]/Cleandata_table3[[#This Row],[Population 16 years and over]],"")</f>
        <v>0.26424131835547698</v>
      </c>
      <c r="AU45" t="str">
        <f>Cleandata_table3[[#This Row],[Neighborhood Name]]&amp; " | " &amp;Cleandata_table3[[#This Row],[Neighborhood Subtype]]</f>
        <v>Columbia City | Southeast</v>
      </c>
      <c r="AV45" t="s">
        <v>107</v>
      </c>
    </row>
    <row r="46" spans="1:48" x14ac:dyDescent="0.35">
      <c r="A46" t="s">
        <v>161</v>
      </c>
      <c r="B46" t="s">
        <v>105</v>
      </c>
      <c r="C46" t="s">
        <v>159</v>
      </c>
      <c r="D46" s="12">
        <v>8578</v>
      </c>
      <c r="E46" s="12">
        <v>2721</v>
      </c>
      <c r="F46" s="12">
        <v>5857</v>
      </c>
      <c r="G46" s="12">
        <v>153</v>
      </c>
      <c r="H46" s="12">
        <v>10896</v>
      </c>
      <c r="I46" s="12">
        <v>369</v>
      </c>
      <c r="J46" s="12">
        <v>79</v>
      </c>
      <c r="K46" s="12">
        <v>150</v>
      </c>
      <c r="L46" s="12">
        <v>438</v>
      </c>
      <c r="M46" s="12">
        <v>51</v>
      </c>
      <c r="N46" s="12">
        <v>497</v>
      </c>
      <c r="O46" s="12">
        <v>9312</v>
      </c>
      <c r="P46" s="12">
        <v>2785</v>
      </c>
      <c r="Q46" s="12">
        <v>74</v>
      </c>
      <c r="R46" s="12">
        <v>48</v>
      </c>
      <c r="S46" s="12">
        <v>26</v>
      </c>
      <c r="T46" s="12">
        <v>0</v>
      </c>
      <c r="U46" s="12">
        <v>0</v>
      </c>
      <c r="V46" s="12">
        <v>6346</v>
      </c>
      <c r="W46" s="12">
        <v>252</v>
      </c>
      <c r="X46" s="12">
        <v>5250</v>
      </c>
      <c r="Y46" s="12">
        <v>59</v>
      </c>
      <c r="Z46" s="12">
        <v>1584</v>
      </c>
      <c r="AA46" s="12">
        <v>5394</v>
      </c>
      <c r="AB46" s="12">
        <v>71</v>
      </c>
      <c r="AC46" s="12">
        <v>952</v>
      </c>
      <c r="AD46" s="12">
        <v>181</v>
      </c>
      <c r="AE46" s="12">
        <v>144</v>
      </c>
      <c r="AF46" s="12">
        <v>12</v>
      </c>
      <c r="AG46" s="8">
        <f>IFERROR(Cleandata_table3[[#This Row],[Population 20 to 64 years below poverty]]/Cleandata_table3[[#This Row],[Population 20 to 64 years for whom poverty status is determined]],"")</f>
        <v>3.9710053577056412E-2</v>
      </c>
      <c r="AH46" s="8">
        <f>IFERROR(Cleandata_table3[[#This Row],[Population 20 to 64 years unemployed]]/Cleandata_table3[[#This Row],[Population 20 to 64 years in civilian labor force]],"")</f>
        <v>2.6696329254727477E-2</v>
      </c>
      <c r="AI46" s="8">
        <f>IFERROR(Cleandata_table3[[#This Row],[Population 20 to 64 years in civilian labor force]]/Cleandata_table3[[#This Row],[Population 20 to 64 years for whom poverty status is determined]],"")</f>
        <v>0.84998424204223133</v>
      </c>
      <c r="AJ46" s="10">
        <f>IFERROR(Cleandata_table3[[#This Row],[Families with income in the past 12 months below poverty level]]/Cleandata_table3[[#This Row],[Families for whom poverty status is determined]],"")</f>
        <v>2.6570915619389589E-2</v>
      </c>
      <c r="AK46" s="8">
        <f>IFERROR(Cleandata_table3[[#This Row],[Population 20 to 64 years employed]]/Cleandata_table3[[#This Row],[Population 20 to 64 years for whom poverty status is determined]],"")</f>
        <v>0.82729278285534191</v>
      </c>
      <c r="AL46" s="8">
        <f>IFERROR(Cleandata_table3[[#This Row],[Population 20 to 64 years not in labor force]]/Cleandata_table3[[#This Row],[Population 20 to 64 years for whom poverty status is determined]],"")</f>
        <v>0.15001575795776867</v>
      </c>
      <c r="AM46" s="10">
        <f>IFERROR(Cleandata_table3[[#This Row],[Married-couple family with related children of the householder under 18 years below poverty]]/Cleandata_table3[[#This Row],[Families for whom poverty status is determined]],"")</f>
        <v>1.7235188509874325E-2</v>
      </c>
      <c r="AN46" s="10">
        <f>IFERROR(Cleandata_table3[[#This Row],[Married-couple family without related children of the householder under 18 years below poverty]]/Cleandata_table3[[#This Row],[Families for whom poverty status is determined]],"")</f>
        <v>9.33572710951526E-3</v>
      </c>
      <c r="AO46" s="10">
        <f>IFERROR(Cleandata_table3[[#This Row],[Single parents with related children of the householder under 18 years below poverty]]/Cleandata_table3[[#This Row],[Families for whom poverty status is determined]],"")</f>
        <v>0</v>
      </c>
      <c r="AP46" s="10">
        <f>IFERROR(Cleandata_table3[[#This Row],[Other family below poverty]]/Cleandata_table3[[#This Row],[Families for whom poverty status is determined]],"")</f>
        <v>0</v>
      </c>
      <c r="AQ46" s="6">
        <f>IFERROR(Cleandata_table3[[#This Row],[Population 16 years and over in civilian labor force unemployed]]/Cleandata_table3[[#This Row],[Population 16 years and over in civilian labor force]],"")</f>
        <v>2.6122588355813558E-2</v>
      </c>
      <c r="AR46" s="6">
        <f>IFERROR((Cleandata_table3[[#This Row],[Population 16 years and over in civilian labor force]]-Cleandata_table3[[#This Row],[Population 16 years and over in civilian labor force unemployed]])/Cleandata_table3[[#This Row],[Population 16 years and over]],"")</f>
        <v>0.6649568664024248</v>
      </c>
      <c r="AS46" s="6">
        <f>IFERROR(Cleandata_table3[[#This Row],[Population 16 years and over in civilian labor force]]/Cleandata_table3[[#This Row],[Population 16 years and over]],"")</f>
        <v>0.68279319188622056</v>
      </c>
      <c r="AT46" s="6">
        <f>IFERROR(Cleandata_table3[[#This Row],[Population 16 years and over not in labor force]]/Cleandata_table3[[#This Row],[Population 16 years and over]],"")</f>
        <v>0.31720680811377944</v>
      </c>
      <c r="AU46" t="str">
        <f>Cleandata_table3[[#This Row],[Neighborhood Name]]&amp; " | " &amp;Cleandata_table3[[#This Row],[Neighborhood Subtype]]</f>
        <v>Seward Park | Southeast</v>
      </c>
      <c r="AV46" t="s">
        <v>107</v>
      </c>
    </row>
    <row r="47" spans="1:48" x14ac:dyDescent="0.35">
      <c r="A47" t="s">
        <v>162</v>
      </c>
      <c r="B47" t="s">
        <v>105</v>
      </c>
      <c r="C47" t="s">
        <v>159</v>
      </c>
      <c r="D47" s="12">
        <v>5939</v>
      </c>
      <c r="E47" s="12">
        <v>1552</v>
      </c>
      <c r="F47" s="12">
        <v>4387</v>
      </c>
      <c r="G47" s="12">
        <v>128</v>
      </c>
      <c r="H47" s="12">
        <v>7179</v>
      </c>
      <c r="I47" s="12">
        <v>284</v>
      </c>
      <c r="J47" s="12">
        <v>441</v>
      </c>
      <c r="K47" s="12">
        <v>164</v>
      </c>
      <c r="L47" s="12">
        <v>118</v>
      </c>
      <c r="M47" s="12">
        <v>201</v>
      </c>
      <c r="N47" s="12">
        <v>68</v>
      </c>
      <c r="O47" s="12">
        <v>5903</v>
      </c>
      <c r="P47" s="12">
        <v>1883</v>
      </c>
      <c r="Q47" s="12">
        <v>194</v>
      </c>
      <c r="R47" s="12">
        <v>0</v>
      </c>
      <c r="S47" s="12">
        <v>30</v>
      </c>
      <c r="T47" s="12">
        <v>53</v>
      </c>
      <c r="U47" s="12">
        <v>111</v>
      </c>
      <c r="V47" s="12">
        <v>4563</v>
      </c>
      <c r="W47" s="12">
        <v>460</v>
      </c>
      <c r="X47" s="12">
        <v>3842</v>
      </c>
      <c r="Y47" s="12">
        <v>272</v>
      </c>
      <c r="Z47" s="12">
        <v>1276</v>
      </c>
      <c r="AA47" s="12">
        <v>3970</v>
      </c>
      <c r="AB47" s="12">
        <v>281</v>
      </c>
      <c r="AC47" s="12">
        <v>593</v>
      </c>
      <c r="AD47" s="12">
        <v>179</v>
      </c>
      <c r="AE47" s="12">
        <v>128</v>
      </c>
      <c r="AF47" s="12">
        <v>9</v>
      </c>
      <c r="AG47" s="8">
        <f>IFERROR(Cleandata_table3[[#This Row],[Population 20 to 64 years below poverty]]/Cleandata_table3[[#This Row],[Population 20 to 64 years for whom poverty status is determined]],"")</f>
        <v>0.10081087004163927</v>
      </c>
      <c r="AH47" s="8">
        <f>IFERROR(Cleandata_table3[[#This Row],[Population 20 to 64 years unemployed]]/Cleandata_table3[[#This Row],[Population 20 to 64 years in civilian labor force]],"")</f>
        <v>3.2241813602015112E-2</v>
      </c>
      <c r="AI47" s="8">
        <f>IFERROR(Cleandata_table3[[#This Row],[Population 20 to 64 years in civilian labor force]]/Cleandata_table3[[#This Row],[Population 20 to 64 years for whom poverty status is determined]],"")</f>
        <v>0.87004163927240852</v>
      </c>
      <c r="AJ47" s="10">
        <f>IFERROR(Cleandata_table3[[#This Row],[Families with income in the past 12 months below poverty level]]/Cleandata_table3[[#This Row],[Families for whom poverty status is determined]],"")</f>
        <v>0.10302708443972385</v>
      </c>
      <c r="AK47" s="8">
        <f>IFERROR(Cleandata_table3[[#This Row],[Population 20 to 64 years employed]]/Cleandata_table3[[#This Row],[Population 20 to 64 years for whom poverty status is determined]],"")</f>
        <v>0.84198991891299579</v>
      </c>
      <c r="AL47" s="8">
        <f>IFERROR(Cleandata_table3[[#This Row],[Population 20 to 64 years not in labor force]]/Cleandata_table3[[#This Row],[Population 20 to 64 years for whom poverty status is determined]],"")</f>
        <v>0.12995836072759151</v>
      </c>
      <c r="AM47" s="10">
        <f>IFERROR(Cleandata_table3[[#This Row],[Married-couple family with related children of the householder under 18 years below poverty]]/Cleandata_table3[[#This Row],[Families for whom poverty status is determined]],"")</f>
        <v>0</v>
      </c>
      <c r="AN47" s="10">
        <f>IFERROR(Cleandata_table3[[#This Row],[Married-couple family without related children of the householder under 18 years below poverty]]/Cleandata_table3[[#This Row],[Families for whom poverty status is determined]],"")</f>
        <v>1.5932023366967606E-2</v>
      </c>
      <c r="AO47" s="10">
        <f>IFERROR(Cleandata_table3[[#This Row],[Single parents with related children of the householder under 18 years below poverty]]/Cleandata_table3[[#This Row],[Families for whom poverty status is determined]],"")</f>
        <v>2.8146574614976102E-2</v>
      </c>
      <c r="AP47" s="10">
        <f>IFERROR(Cleandata_table3[[#This Row],[Other family below poverty]]/Cleandata_table3[[#This Row],[Families for whom poverty status is determined]],"")</f>
        <v>5.8948486457780142E-2</v>
      </c>
      <c r="AQ47" s="6">
        <f>IFERROR(Cleandata_table3[[#This Row],[Population 16 years and over in civilian labor force unemployed]]/Cleandata_table3[[#This Row],[Population 16 years and over in civilian labor force]],"")</f>
        <v>2.9177114201048553E-2</v>
      </c>
      <c r="AR47" s="6">
        <f>IFERROR((Cleandata_table3[[#This Row],[Population 16 years and over in civilian labor force]]-Cleandata_table3[[#This Row],[Population 16 years and over in civilian labor force unemployed]])/Cleandata_table3[[#This Row],[Population 16 years and over]],"")</f>
        <v>0.71712409496548235</v>
      </c>
      <c r="AS47" s="6">
        <f>IFERROR(Cleandata_table3[[#This Row],[Population 16 years and over in civilian labor force]]/Cleandata_table3[[#This Row],[Population 16 years and over]],"")</f>
        <v>0.73867654487287426</v>
      </c>
      <c r="AT47" s="6">
        <f>IFERROR(Cleandata_table3[[#This Row],[Population 16 years and over not in labor force]]/Cleandata_table3[[#This Row],[Population 16 years and over]],"")</f>
        <v>0.26132345512712579</v>
      </c>
      <c r="AU47" t="str">
        <f>Cleandata_table3[[#This Row],[Neighborhood Name]]&amp; " | " &amp;Cleandata_table3[[#This Row],[Neighborhood Subtype]]</f>
        <v>Mt. Baker/North Rainier | Southeast</v>
      </c>
      <c r="AV47" t="s">
        <v>107</v>
      </c>
    </row>
    <row r="48" spans="1:48" x14ac:dyDescent="0.35">
      <c r="A48" t="s">
        <v>163</v>
      </c>
      <c r="B48" t="s">
        <v>105</v>
      </c>
      <c r="C48" t="s">
        <v>164</v>
      </c>
      <c r="D48" s="12">
        <v>10072</v>
      </c>
      <c r="E48" s="12">
        <v>3485</v>
      </c>
      <c r="F48" s="12">
        <v>6510</v>
      </c>
      <c r="G48" s="12">
        <v>236</v>
      </c>
      <c r="H48" s="12">
        <v>11733</v>
      </c>
      <c r="I48" s="12">
        <v>803</v>
      </c>
      <c r="J48" s="12">
        <v>247</v>
      </c>
      <c r="K48" s="12">
        <v>137</v>
      </c>
      <c r="L48" s="12">
        <v>270</v>
      </c>
      <c r="M48" s="12">
        <v>411</v>
      </c>
      <c r="N48" s="12">
        <v>88</v>
      </c>
      <c r="O48" s="12">
        <v>9777</v>
      </c>
      <c r="P48" s="12">
        <v>3136</v>
      </c>
      <c r="Q48" s="12">
        <v>262</v>
      </c>
      <c r="R48" s="12">
        <v>17</v>
      </c>
      <c r="S48" s="12">
        <v>98</v>
      </c>
      <c r="T48" s="12">
        <v>147</v>
      </c>
      <c r="U48" s="12">
        <v>0</v>
      </c>
      <c r="V48" s="12">
        <v>7534</v>
      </c>
      <c r="W48" s="12">
        <v>501</v>
      </c>
      <c r="X48" s="12">
        <v>5718</v>
      </c>
      <c r="Y48" s="12">
        <v>174</v>
      </c>
      <c r="Z48" s="12">
        <v>1956</v>
      </c>
      <c r="AA48" s="12">
        <v>5914</v>
      </c>
      <c r="AB48" s="12">
        <v>191</v>
      </c>
      <c r="AC48" s="12">
        <v>1543</v>
      </c>
      <c r="AD48" s="12">
        <v>310</v>
      </c>
      <c r="AE48" s="12">
        <v>196</v>
      </c>
      <c r="AF48" s="12">
        <v>17</v>
      </c>
      <c r="AG48" s="8">
        <f>IFERROR(Cleandata_table3[[#This Row],[Population 20 to 64 years below poverty]]/Cleandata_table3[[#This Row],[Population 20 to 64 years for whom poverty status is determined]],"")</f>
        <v>6.649853995221662E-2</v>
      </c>
      <c r="AH48" s="8">
        <f>IFERROR(Cleandata_table3[[#This Row],[Population 20 to 64 years unemployed]]/Cleandata_table3[[#This Row],[Population 20 to 64 years in civilian labor force]],"")</f>
        <v>3.3141697666553942E-2</v>
      </c>
      <c r="AI48" s="8">
        <f>IFERROR(Cleandata_table3[[#This Row],[Population 20 to 64 years in civilian labor force]]/Cleandata_table3[[#This Row],[Population 20 to 64 years for whom poverty status is determined]],"")</f>
        <v>0.78497478099283247</v>
      </c>
      <c r="AJ48" s="10">
        <f>IFERROR(Cleandata_table3[[#This Row],[Families with income in the past 12 months below poverty level]]/Cleandata_table3[[#This Row],[Families for whom poverty status is determined]],"")</f>
        <v>8.3545918367346941E-2</v>
      </c>
      <c r="AK48" s="8">
        <f>IFERROR(Cleandata_table3[[#This Row],[Population 20 to 64 years employed]]/Cleandata_table3[[#This Row],[Population 20 to 64 years for whom poverty status is determined]],"")</f>
        <v>0.75895938412529862</v>
      </c>
      <c r="AL48" s="8">
        <f>IFERROR(Cleandata_table3[[#This Row],[Population 20 to 64 years not in labor force]]/Cleandata_table3[[#This Row],[Population 20 to 64 years for whom poverty status is determined]],"")</f>
        <v>0.20480488452349349</v>
      </c>
      <c r="AM48" s="10">
        <f>IFERROR(Cleandata_table3[[#This Row],[Married-couple family with related children of the householder under 18 years below poverty]]/Cleandata_table3[[#This Row],[Families for whom poverty status is determined]],"")</f>
        <v>5.4209183673469387E-3</v>
      </c>
      <c r="AN48" s="10">
        <f>IFERROR(Cleandata_table3[[#This Row],[Married-couple family without related children of the householder under 18 years below poverty]]/Cleandata_table3[[#This Row],[Families for whom poverty status is determined]],"")</f>
        <v>3.125E-2</v>
      </c>
      <c r="AO48" s="10">
        <f>IFERROR(Cleandata_table3[[#This Row],[Single parents with related children of the householder under 18 years below poverty]]/Cleandata_table3[[#This Row],[Families for whom poverty status is determined]],"")</f>
        <v>4.6875E-2</v>
      </c>
      <c r="AP48" s="10">
        <f>IFERROR(Cleandata_table3[[#This Row],[Other family below poverty]]/Cleandata_table3[[#This Row],[Families for whom poverty status is determined]],"")</f>
        <v>0</v>
      </c>
      <c r="AQ48" s="6">
        <f>IFERROR(Cleandata_table3[[#This Row],[Population 16 years and over in civilian labor force unemployed]]/Cleandata_table3[[#This Row],[Population 16 years and over in civilian labor force]],"")</f>
        <v>3.6251920122887867E-2</v>
      </c>
      <c r="AR48" s="6">
        <f>IFERROR((Cleandata_table3[[#This Row],[Population 16 years and over in civilian labor force]]-Cleandata_table3[[#This Row],[Population 16 years and over in civilian labor force unemployed]])/Cleandata_table3[[#This Row],[Population 16 years and over]],"")</f>
        <v>0.62291501191421761</v>
      </c>
      <c r="AS48" s="6">
        <f>IFERROR(Cleandata_table3[[#This Row],[Population 16 years and over in civilian labor force]]/Cleandata_table3[[#This Row],[Population 16 years and over]],"")</f>
        <v>0.64634630659253378</v>
      </c>
      <c r="AT48" s="6">
        <f>IFERROR(Cleandata_table3[[#This Row],[Population 16 years and over not in labor force]]/Cleandata_table3[[#This Row],[Population 16 years and over]],"")</f>
        <v>0.3460087370929309</v>
      </c>
      <c r="AU48" t="str">
        <f>Cleandata_table3[[#This Row],[Neighborhood Name]]&amp; " | " &amp;Cleandata_table3[[#This Row],[Neighborhood Subtype]]</f>
        <v>Madrona/Leschi | Central</v>
      </c>
      <c r="AV48" t="s">
        <v>107</v>
      </c>
    </row>
    <row r="49" spans="1:48" x14ac:dyDescent="0.35">
      <c r="A49" t="s">
        <v>165</v>
      </c>
      <c r="B49" t="s">
        <v>105</v>
      </c>
      <c r="C49" t="s">
        <v>164</v>
      </c>
      <c r="D49" s="12">
        <v>3788</v>
      </c>
      <c r="E49" s="12">
        <v>1146</v>
      </c>
      <c r="F49" s="12">
        <v>2605</v>
      </c>
      <c r="G49" s="12">
        <v>194</v>
      </c>
      <c r="H49" s="12">
        <v>4222</v>
      </c>
      <c r="I49" s="12">
        <v>384</v>
      </c>
      <c r="J49" s="12">
        <v>434</v>
      </c>
      <c r="K49" s="12">
        <v>374</v>
      </c>
      <c r="L49" s="12">
        <v>267</v>
      </c>
      <c r="M49" s="12">
        <v>168</v>
      </c>
      <c r="N49" s="12">
        <v>111</v>
      </c>
      <c r="O49" s="12">
        <v>2484</v>
      </c>
      <c r="P49" s="12">
        <v>654</v>
      </c>
      <c r="Q49" s="12">
        <v>113</v>
      </c>
      <c r="R49" s="12">
        <v>0</v>
      </c>
      <c r="S49" s="12">
        <v>33</v>
      </c>
      <c r="T49" s="12">
        <v>80</v>
      </c>
      <c r="U49" s="12">
        <v>0</v>
      </c>
      <c r="V49" s="12">
        <v>2917</v>
      </c>
      <c r="W49" s="12">
        <v>329</v>
      </c>
      <c r="X49" s="12">
        <v>2312</v>
      </c>
      <c r="Y49" s="12">
        <v>114</v>
      </c>
      <c r="Z49" s="12">
        <v>1738</v>
      </c>
      <c r="AA49" s="12">
        <v>2506</v>
      </c>
      <c r="AB49" s="12">
        <v>208</v>
      </c>
      <c r="AC49" s="12">
        <v>374</v>
      </c>
      <c r="AD49" s="12">
        <v>121</v>
      </c>
      <c r="AE49" s="12">
        <v>194</v>
      </c>
      <c r="AF49" s="12">
        <v>94</v>
      </c>
      <c r="AG49" s="8">
        <f>IFERROR(Cleandata_table3[[#This Row],[Population 20 to 64 years below poverty]]/Cleandata_table3[[#This Row],[Population 20 to 64 years for whom poverty status is determined]],"")</f>
        <v>0.11278711004456633</v>
      </c>
      <c r="AH49" s="8">
        <f>IFERROR(Cleandata_table3[[#This Row],[Population 20 to 64 years unemployed]]/Cleandata_table3[[#This Row],[Population 20 to 64 years in civilian labor force]],"")</f>
        <v>7.7414205905826011E-2</v>
      </c>
      <c r="AI49" s="8">
        <f>IFERROR(Cleandata_table3[[#This Row],[Population 20 to 64 years in civilian labor force]]/Cleandata_table3[[#This Row],[Population 20 to 64 years for whom poverty status is determined]],"")</f>
        <v>0.85910181693520737</v>
      </c>
      <c r="AJ49" s="10">
        <f>IFERROR(Cleandata_table3[[#This Row],[Families with income in the past 12 months below poverty level]]/Cleandata_table3[[#This Row],[Families for whom poverty status is determined]],"")</f>
        <v>0.172782874617737</v>
      </c>
      <c r="AK49" s="8">
        <f>IFERROR(Cleandata_table3[[#This Row],[Population 20 to 64 years employed]]/Cleandata_table3[[#This Row],[Population 20 to 64 years for whom poverty status is determined]],"")</f>
        <v>0.79259513198491605</v>
      </c>
      <c r="AL49" s="8">
        <f>IFERROR(Cleandata_table3[[#This Row],[Population 20 to 64 years not in labor force]]/Cleandata_table3[[#This Row],[Population 20 to 64 years for whom poverty status is determined]],"")</f>
        <v>0.12821391840932464</v>
      </c>
      <c r="AM49" s="10">
        <f>IFERROR(Cleandata_table3[[#This Row],[Married-couple family with related children of the householder under 18 years below poverty]]/Cleandata_table3[[#This Row],[Families for whom poverty status is determined]],"")</f>
        <v>0</v>
      </c>
      <c r="AN49" s="10">
        <f>IFERROR(Cleandata_table3[[#This Row],[Married-couple family without related children of the householder under 18 years below poverty]]/Cleandata_table3[[#This Row],[Families for whom poverty status is determined]],"")</f>
        <v>5.0458715596330278E-2</v>
      </c>
      <c r="AO49" s="10">
        <f>IFERROR(Cleandata_table3[[#This Row],[Single parents with related children of the householder under 18 years below poverty]]/Cleandata_table3[[#This Row],[Families for whom poverty status is determined]],"")</f>
        <v>0.12232415902140673</v>
      </c>
      <c r="AP49" s="10">
        <f>IFERROR(Cleandata_table3[[#This Row],[Other family below poverty]]/Cleandata_table3[[#This Row],[Families for whom poverty status is determined]],"")</f>
        <v>0</v>
      </c>
      <c r="AQ49" s="6">
        <f>IFERROR(Cleandata_table3[[#This Row],[Population 16 years and over in civilian labor force unemployed]]/Cleandata_table3[[#This Row],[Population 16 years and over in civilian labor force]],"")</f>
        <v>7.4472168905950098E-2</v>
      </c>
      <c r="AR49" s="6">
        <f>IFERROR((Cleandata_table3[[#This Row],[Population 16 years and over in civilian labor force]]-Cleandata_table3[[#This Row],[Population 16 years and over in civilian labor force unemployed]])/Cleandata_table3[[#This Row],[Population 16 years and over]],"")</f>
        <v>0.63648363252375928</v>
      </c>
      <c r="AS49" s="6">
        <f>IFERROR(Cleandata_table3[[#This Row],[Population 16 years and over in civilian labor force]]/Cleandata_table3[[#This Row],[Population 16 years and over]],"")</f>
        <v>0.6876979936642027</v>
      </c>
      <c r="AT49" s="6">
        <f>IFERROR(Cleandata_table3[[#This Row],[Population 16 years and over not in labor force]]/Cleandata_table3[[#This Row],[Population 16 years and over]],"")</f>
        <v>0.30253431890179516</v>
      </c>
      <c r="AU49" t="str">
        <f>Cleandata_table3[[#This Row],[Neighborhood Name]]&amp; " | " &amp;Cleandata_table3[[#This Row],[Neighborhood Subtype]]</f>
        <v>Judkins Park | Central</v>
      </c>
      <c r="AV49" t="s">
        <v>107</v>
      </c>
    </row>
    <row r="50" spans="1:48" x14ac:dyDescent="0.35">
      <c r="A50" t="s">
        <v>166</v>
      </c>
      <c r="B50" t="s">
        <v>105</v>
      </c>
      <c r="C50" t="s">
        <v>164</v>
      </c>
      <c r="D50" s="12">
        <v>19601</v>
      </c>
      <c r="E50" s="12">
        <v>4361</v>
      </c>
      <c r="F50" s="12">
        <v>15193</v>
      </c>
      <c r="G50" s="12">
        <v>737</v>
      </c>
      <c r="H50" s="12">
        <v>21480</v>
      </c>
      <c r="I50" s="12">
        <v>1561</v>
      </c>
      <c r="J50" s="12">
        <v>1071</v>
      </c>
      <c r="K50" s="12">
        <v>564</v>
      </c>
      <c r="L50" s="12">
        <v>317</v>
      </c>
      <c r="M50" s="12">
        <v>841</v>
      </c>
      <c r="N50" s="12">
        <v>194</v>
      </c>
      <c r="O50" s="12">
        <v>16932</v>
      </c>
      <c r="P50" s="12">
        <v>3494</v>
      </c>
      <c r="Q50" s="12">
        <v>145</v>
      </c>
      <c r="R50" s="12">
        <v>0</v>
      </c>
      <c r="S50" s="12">
        <v>21</v>
      </c>
      <c r="T50" s="12">
        <v>92</v>
      </c>
      <c r="U50" s="12">
        <v>32</v>
      </c>
      <c r="V50" s="12">
        <v>16917</v>
      </c>
      <c r="W50" s="12">
        <v>1739</v>
      </c>
      <c r="X50" s="12">
        <v>13996</v>
      </c>
      <c r="Y50" s="12">
        <v>603</v>
      </c>
      <c r="Z50" s="12">
        <v>4548</v>
      </c>
      <c r="AA50" s="12">
        <v>14590</v>
      </c>
      <c r="AB50" s="12">
        <v>732</v>
      </c>
      <c r="AC50" s="12">
        <v>2280</v>
      </c>
      <c r="AD50" s="12">
        <v>1007</v>
      </c>
      <c r="AE50" s="12">
        <v>594</v>
      </c>
      <c r="AF50" s="12">
        <v>129</v>
      </c>
      <c r="AG50" s="8">
        <f>IFERROR(Cleandata_table3[[#This Row],[Population 20 to 64 years below poverty]]/Cleandata_table3[[#This Row],[Population 20 to 64 years for whom poverty status is determined]],"")</f>
        <v>0.10279600401962523</v>
      </c>
      <c r="AH50" s="8">
        <f>IFERROR(Cleandata_table3[[#This Row],[Population 20 to 64 years unemployed]]/Cleandata_table3[[#This Row],[Population 20 to 64 years in civilian labor force]],"")</f>
        <v>4.0712816997943796E-2</v>
      </c>
      <c r="AI50" s="8">
        <f>IFERROR(Cleandata_table3[[#This Row],[Population 20 to 64 years in civilian labor force]]/Cleandata_table3[[#This Row],[Population 20 to 64 years for whom poverty status is determined]],"")</f>
        <v>0.86244606017615422</v>
      </c>
      <c r="AJ50" s="10">
        <f>IFERROR(Cleandata_table3[[#This Row],[Families with income in the past 12 months below poverty level]]/Cleandata_table3[[#This Row],[Families for whom poverty status is determined]],"")</f>
        <v>4.1499713795077275E-2</v>
      </c>
      <c r="AK50" s="8">
        <f>IFERROR(Cleandata_table3[[#This Row],[Population 20 to 64 years employed]]/Cleandata_table3[[#This Row],[Population 20 to 64 years for whom poverty status is determined]],"")</f>
        <v>0.82733345155760474</v>
      </c>
      <c r="AL50" s="8">
        <f>IFERROR(Cleandata_table3[[#This Row],[Population 20 to 64 years not in labor force]]/Cleandata_table3[[#This Row],[Population 20 to 64 years for whom poverty status is determined]],"")</f>
        <v>0.13477566944493705</v>
      </c>
      <c r="AM50" s="10">
        <f>IFERROR(Cleandata_table3[[#This Row],[Married-couple family with related children of the householder under 18 years below poverty]]/Cleandata_table3[[#This Row],[Families for whom poverty status is determined]],"")</f>
        <v>0</v>
      </c>
      <c r="AN50" s="10">
        <f>IFERROR(Cleandata_table3[[#This Row],[Married-couple family without related children of the householder under 18 years below poverty]]/Cleandata_table3[[#This Row],[Families for whom poverty status is determined]],"")</f>
        <v>6.0103033772180882E-3</v>
      </c>
      <c r="AO50" s="10">
        <f>IFERROR(Cleandata_table3[[#This Row],[Single parents with related children of the householder under 18 years below poverty]]/Cleandata_table3[[#This Row],[Families for whom poverty status is determined]],"")</f>
        <v>2.633085289066972E-2</v>
      </c>
      <c r="AP50" s="10">
        <f>IFERROR(Cleandata_table3[[#This Row],[Other family below poverty]]/Cleandata_table3[[#This Row],[Families for whom poverty status is determined]],"")</f>
        <v>9.1585575271894669E-3</v>
      </c>
      <c r="AQ50" s="6">
        <f>IFERROR(Cleandata_table3[[#This Row],[Population 16 years and over in civilian labor force unemployed]]/Cleandata_table3[[#This Row],[Population 16 years and over in civilian labor force]],"")</f>
        <v>4.8509181860067134E-2</v>
      </c>
      <c r="AR50" s="6">
        <f>IFERROR((Cleandata_table3[[#This Row],[Population 16 years and over in civilian labor force]]-Cleandata_table3[[#This Row],[Population 16 years and over in civilian labor force unemployed]])/Cleandata_table3[[#This Row],[Population 16 years and over]],"")</f>
        <v>0.73751339217386869</v>
      </c>
      <c r="AS50" s="6">
        <f>IFERROR(Cleandata_table3[[#This Row],[Population 16 years and over in civilian labor force]]/Cleandata_table3[[#This Row],[Population 16 years and over]],"")</f>
        <v>0.77511351461660116</v>
      </c>
      <c r="AT50" s="6">
        <f>IFERROR(Cleandata_table3[[#This Row],[Population 16 years and over not in labor force]]/Cleandata_table3[[#This Row],[Population 16 years and over]],"")</f>
        <v>0.22248864853833988</v>
      </c>
      <c r="AU50" t="str">
        <f>Cleandata_table3[[#This Row],[Neighborhood Name]]&amp; " | " &amp;Cleandata_table3[[#This Row],[Neighborhood Subtype]]</f>
        <v>Central Area/Squire Park | Central</v>
      </c>
      <c r="AV50" t="s">
        <v>107</v>
      </c>
    </row>
    <row r="51" spans="1:48" x14ac:dyDescent="0.35">
      <c r="A51" t="s">
        <v>167</v>
      </c>
      <c r="B51" t="s">
        <v>105</v>
      </c>
      <c r="C51" t="s">
        <v>168</v>
      </c>
      <c r="D51" s="12">
        <v>18702</v>
      </c>
      <c r="E51" s="12">
        <v>6039</v>
      </c>
      <c r="F51" s="12">
        <v>12663</v>
      </c>
      <c r="G51" s="12">
        <v>885</v>
      </c>
      <c r="H51" s="12">
        <v>16492</v>
      </c>
      <c r="I51" s="12">
        <v>1826</v>
      </c>
      <c r="J51" s="12">
        <v>984</v>
      </c>
      <c r="K51" s="12">
        <v>437</v>
      </c>
      <c r="L51" s="12">
        <v>372</v>
      </c>
      <c r="M51" s="12">
        <v>497</v>
      </c>
      <c r="N51" s="12">
        <v>157</v>
      </c>
      <c r="O51" s="12">
        <v>12219</v>
      </c>
      <c r="P51" s="12">
        <v>2425</v>
      </c>
      <c r="Q51" s="12">
        <v>250</v>
      </c>
      <c r="R51" s="12">
        <v>0</v>
      </c>
      <c r="S51" s="12">
        <v>145</v>
      </c>
      <c r="T51" s="12">
        <v>105</v>
      </c>
      <c r="U51" s="12">
        <v>0</v>
      </c>
      <c r="V51" s="12">
        <v>13568</v>
      </c>
      <c r="W51" s="12">
        <v>1737</v>
      </c>
      <c r="X51" s="12">
        <v>10984</v>
      </c>
      <c r="Y51" s="12">
        <v>578</v>
      </c>
      <c r="Z51" s="12">
        <v>4273</v>
      </c>
      <c r="AA51" s="12">
        <v>11683</v>
      </c>
      <c r="AB51" s="12">
        <v>909</v>
      </c>
      <c r="AC51" s="12">
        <v>1885</v>
      </c>
      <c r="AD51" s="12">
        <v>828</v>
      </c>
      <c r="AE51" s="12">
        <v>699</v>
      </c>
      <c r="AF51" s="12">
        <v>331</v>
      </c>
      <c r="AG51" s="8">
        <f>IFERROR(Cleandata_table3[[#This Row],[Population 20 to 64 years below poverty]]/Cleandata_table3[[#This Row],[Population 20 to 64 years for whom poverty status is determined]],"")</f>
        <v>0.12802181603773585</v>
      </c>
      <c r="AH51" s="8">
        <f>IFERROR(Cleandata_table3[[#This Row],[Population 20 to 64 years unemployed]]/Cleandata_table3[[#This Row],[Population 20 to 64 years in civilian labor force]],"")</f>
        <v>5.9830522982110758E-2</v>
      </c>
      <c r="AI51" s="8">
        <f>IFERROR(Cleandata_table3[[#This Row],[Population 20 to 64 years in civilian labor force]]/Cleandata_table3[[#This Row],[Population 20 to 64 years for whom poverty status is determined]],"")</f>
        <v>0.86107016509433965</v>
      </c>
      <c r="AJ51" s="10">
        <f>IFERROR(Cleandata_table3[[#This Row],[Families with income in the past 12 months below poverty level]]/Cleandata_table3[[#This Row],[Families for whom poverty status is determined]],"")</f>
        <v>0.10309278350515463</v>
      </c>
      <c r="AK51" s="8">
        <f>IFERROR(Cleandata_table3[[#This Row],[Population 20 to 64 years employed]]/Cleandata_table3[[#This Row],[Population 20 to 64 years for whom poverty status is determined]],"")</f>
        <v>0.80955188679245282</v>
      </c>
      <c r="AL51" s="8">
        <f>IFERROR(Cleandata_table3[[#This Row],[Population 20 to 64 years not in labor force]]/Cleandata_table3[[#This Row],[Population 20 to 64 years for whom poverty status is determined]],"")</f>
        <v>0.13892983490566038</v>
      </c>
      <c r="AM51" s="10">
        <f>IFERROR(Cleandata_table3[[#This Row],[Married-couple family with related children of the householder under 18 years below poverty]]/Cleandata_table3[[#This Row],[Families for whom poverty status is determined]],"")</f>
        <v>0</v>
      </c>
      <c r="AN51" s="10">
        <f>IFERROR(Cleandata_table3[[#This Row],[Married-couple family without related children of the householder under 18 years below poverty]]/Cleandata_table3[[#This Row],[Families for whom poverty status is determined]],"")</f>
        <v>5.9793814432989693E-2</v>
      </c>
      <c r="AO51" s="10">
        <f>IFERROR(Cleandata_table3[[#This Row],[Single parents with related children of the householder under 18 years below poverty]]/Cleandata_table3[[#This Row],[Families for whom poverty status is determined]],"")</f>
        <v>4.3298969072164947E-2</v>
      </c>
      <c r="AP51" s="10">
        <f>IFERROR(Cleandata_table3[[#This Row],[Other family below poverty]]/Cleandata_table3[[#This Row],[Families for whom poverty status is determined]],"")</f>
        <v>0</v>
      </c>
      <c r="AQ51" s="6">
        <f>IFERROR(Cleandata_table3[[#This Row],[Population 16 years and over in civilian labor force unemployed]]/Cleandata_table3[[#This Row],[Population 16 years and over in civilian labor force]],"")</f>
        <v>6.9888651978204222E-2</v>
      </c>
      <c r="AR51" s="6">
        <f>IFERROR((Cleandata_table3[[#This Row],[Population 16 years and over in civilian labor force]]-Cleandata_table3[[#This Row],[Population 16 years and over in civilian labor force unemployed]])/Cleandata_table3[[#This Row],[Population 16 years and over]],"")</f>
        <v>0.62977221687520046</v>
      </c>
      <c r="AS51" s="6">
        <f>IFERROR(Cleandata_table3[[#This Row],[Population 16 years and over in civilian labor force]]/Cleandata_table3[[#This Row],[Population 16 years and over]],"")</f>
        <v>0.67709335899903755</v>
      </c>
      <c r="AT51" s="6">
        <f>IFERROR(Cleandata_table3[[#This Row],[Population 16 years and over not in labor force]]/Cleandata_table3[[#This Row],[Population 16 years and over]],"")</f>
        <v>0.32290664100096245</v>
      </c>
      <c r="AU51" t="str">
        <f>Cleandata_table3[[#This Row],[Neighborhood Name]]&amp; " | " &amp;Cleandata_table3[[#This Row],[Neighborhood Subtype]]</f>
        <v>First Hill | East</v>
      </c>
      <c r="AV51" t="s">
        <v>107</v>
      </c>
    </row>
    <row r="52" spans="1:48" x14ac:dyDescent="0.35">
      <c r="A52" t="s">
        <v>169</v>
      </c>
      <c r="B52" t="s">
        <v>105</v>
      </c>
      <c r="C52" t="s">
        <v>168</v>
      </c>
      <c r="D52" s="12">
        <v>26180</v>
      </c>
      <c r="E52" s="12">
        <v>3347</v>
      </c>
      <c r="F52" s="12">
        <v>22833</v>
      </c>
      <c r="G52" s="12">
        <v>1209</v>
      </c>
      <c r="H52" s="12">
        <v>26700</v>
      </c>
      <c r="I52" s="12">
        <v>1713</v>
      </c>
      <c r="J52" s="12">
        <v>1153</v>
      </c>
      <c r="K52" s="12">
        <v>673</v>
      </c>
      <c r="L52" s="12">
        <v>583</v>
      </c>
      <c r="M52" s="12">
        <v>794</v>
      </c>
      <c r="N52" s="12">
        <v>726</v>
      </c>
      <c r="O52" s="12">
        <v>21058</v>
      </c>
      <c r="P52" s="12">
        <v>2494</v>
      </c>
      <c r="Q52" s="12">
        <v>123</v>
      </c>
      <c r="R52" s="12">
        <v>31</v>
      </c>
      <c r="S52" s="12">
        <v>37</v>
      </c>
      <c r="T52" s="12">
        <v>0</v>
      </c>
      <c r="U52" s="12">
        <v>55</v>
      </c>
      <c r="V52" s="12">
        <v>24486</v>
      </c>
      <c r="W52" s="12">
        <v>2551</v>
      </c>
      <c r="X52" s="12">
        <v>21207</v>
      </c>
      <c r="Y52" s="12">
        <v>1277</v>
      </c>
      <c r="Z52" s="12">
        <v>5642</v>
      </c>
      <c r="AA52" s="12">
        <v>22399</v>
      </c>
      <c r="AB52" s="12">
        <v>1663</v>
      </c>
      <c r="AC52" s="12">
        <v>2087</v>
      </c>
      <c r="AD52" s="12">
        <v>888</v>
      </c>
      <c r="AE52" s="12">
        <v>1192</v>
      </c>
      <c r="AF52" s="12">
        <v>386</v>
      </c>
      <c r="AG52" s="8">
        <f>IFERROR(Cleandata_table3[[#This Row],[Population 20 to 64 years below poverty]]/Cleandata_table3[[#This Row],[Population 20 to 64 years for whom poverty status is determined]],"")</f>
        <v>0.1041819815404721</v>
      </c>
      <c r="AH52" s="8">
        <f>IFERROR(Cleandata_table3[[#This Row],[Population 20 to 64 years unemployed]]/Cleandata_table3[[#This Row],[Population 20 to 64 years in civilian labor force]],"")</f>
        <v>5.3216661458100806E-2</v>
      </c>
      <c r="AI52" s="8">
        <f>IFERROR(Cleandata_table3[[#This Row],[Population 20 to 64 years in civilian labor force]]/Cleandata_table3[[#This Row],[Population 20 to 64 years for whom poverty status is determined]],"")</f>
        <v>0.91476762231479214</v>
      </c>
      <c r="AJ52" s="10">
        <f>IFERROR(Cleandata_table3[[#This Row],[Families with income in the past 12 months below poverty level]]/Cleandata_table3[[#This Row],[Families for whom poverty status is determined]],"")</f>
        <v>4.9318364073777064E-2</v>
      </c>
      <c r="AK52" s="8">
        <f>IFERROR(Cleandata_table3[[#This Row],[Population 20 to 64 years employed]]/Cleandata_table3[[#This Row],[Population 20 to 64 years for whom poverty status is determined]],"")</f>
        <v>0.86608674344523406</v>
      </c>
      <c r="AL52" s="8">
        <f>IFERROR(Cleandata_table3[[#This Row],[Population 20 to 64 years not in labor force]]/Cleandata_table3[[#This Row],[Population 20 to 64 years for whom poverty status is determined]],"")</f>
        <v>8.5232377685207875E-2</v>
      </c>
      <c r="AM52" s="10">
        <f>IFERROR(Cleandata_table3[[#This Row],[Married-couple family with related children of the householder under 18 years below poverty]]/Cleandata_table3[[#This Row],[Families for whom poverty status is determined]],"")</f>
        <v>1.2429831595829992E-2</v>
      </c>
      <c r="AN52" s="10">
        <f>IFERROR(Cleandata_table3[[#This Row],[Married-couple family without related children of the householder under 18 years below poverty]]/Cleandata_table3[[#This Row],[Families for whom poverty status is determined]],"")</f>
        <v>1.483560545308741E-2</v>
      </c>
      <c r="AO52" s="10">
        <f>IFERROR(Cleandata_table3[[#This Row],[Single parents with related children of the householder under 18 years below poverty]]/Cleandata_table3[[#This Row],[Families for whom poverty status is determined]],"")</f>
        <v>0</v>
      </c>
      <c r="AP52" s="10">
        <f>IFERROR(Cleandata_table3[[#This Row],[Other family below poverty]]/Cleandata_table3[[#This Row],[Families for whom poverty status is determined]],"")</f>
        <v>2.2052927024859663E-2</v>
      </c>
      <c r="AQ52" s="6">
        <f>IFERROR(Cleandata_table3[[#This Row],[Population 16 years and over in civilian labor force unemployed]]/Cleandata_table3[[#This Row],[Population 16 years and over in civilian labor force]],"")</f>
        <v>5.2949678097490474E-2</v>
      </c>
      <c r="AR52" s="6">
        <f>IFERROR((Cleandata_table3[[#This Row],[Population 16 years and over in civilian labor force]]-Cleandata_table3[[#This Row],[Population 16 years and over in civilian labor force unemployed]])/Cleandata_table3[[#This Row],[Population 16 years and over]],"")</f>
        <v>0.82597402597402603</v>
      </c>
      <c r="AS52" s="6">
        <f>IFERROR(Cleandata_table3[[#This Row],[Population 16 years and over in civilian labor force]]/Cleandata_table3[[#This Row],[Population 16 years and over]],"")</f>
        <v>0.87215431627196338</v>
      </c>
      <c r="AT52" s="6">
        <f>IFERROR(Cleandata_table3[[#This Row],[Population 16 years and over not in labor force]]/Cleandata_table3[[#This Row],[Population 16 years and over]],"")</f>
        <v>0.12784568372803667</v>
      </c>
      <c r="AU52" t="str">
        <f>Cleandata_table3[[#This Row],[Neighborhood Name]]&amp; " | " &amp;Cleandata_table3[[#This Row],[Neighborhood Subtype]]</f>
        <v>Capitol Hill | East</v>
      </c>
      <c r="AV52" t="s">
        <v>107</v>
      </c>
    </row>
    <row r="53" spans="1:48" x14ac:dyDescent="0.35">
      <c r="A53" t="s">
        <v>170</v>
      </c>
      <c r="B53" t="s">
        <v>105</v>
      </c>
      <c r="C53" t="s">
        <v>168</v>
      </c>
      <c r="D53" s="12">
        <v>4420</v>
      </c>
      <c r="E53" s="12">
        <v>855</v>
      </c>
      <c r="F53" s="12">
        <v>3565</v>
      </c>
      <c r="G53" s="12">
        <v>153</v>
      </c>
      <c r="H53" s="12">
        <v>4773</v>
      </c>
      <c r="I53" s="12">
        <v>224</v>
      </c>
      <c r="J53" s="12">
        <v>66</v>
      </c>
      <c r="K53" s="12">
        <v>26</v>
      </c>
      <c r="L53" s="12">
        <v>35</v>
      </c>
      <c r="M53" s="12">
        <v>125</v>
      </c>
      <c r="N53" s="12">
        <v>63</v>
      </c>
      <c r="O53" s="12">
        <v>4234</v>
      </c>
      <c r="P53" s="12">
        <v>932</v>
      </c>
      <c r="Q53" s="12">
        <v>17</v>
      </c>
      <c r="R53" s="12">
        <v>0</v>
      </c>
      <c r="S53" s="12">
        <v>17</v>
      </c>
      <c r="T53" s="12">
        <v>0</v>
      </c>
      <c r="U53" s="12">
        <v>0</v>
      </c>
      <c r="V53" s="12">
        <v>3856</v>
      </c>
      <c r="W53" s="12">
        <v>250</v>
      </c>
      <c r="X53" s="12">
        <v>3303</v>
      </c>
      <c r="Y53" s="12">
        <v>68</v>
      </c>
      <c r="Z53" s="12">
        <v>539</v>
      </c>
      <c r="AA53" s="12">
        <v>3456</v>
      </c>
      <c r="AB53" s="12">
        <v>156</v>
      </c>
      <c r="AC53" s="12">
        <v>400</v>
      </c>
      <c r="AD53" s="12">
        <v>94</v>
      </c>
      <c r="AE53" s="12">
        <v>153</v>
      </c>
      <c r="AF53" s="12">
        <v>88</v>
      </c>
      <c r="AG53" s="8">
        <f>IFERROR(Cleandata_table3[[#This Row],[Population 20 to 64 years below poverty]]/Cleandata_table3[[#This Row],[Population 20 to 64 years for whom poverty status is determined]],"")</f>
        <v>6.4834024896265566E-2</v>
      </c>
      <c r="AH53" s="8">
        <f>IFERROR(Cleandata_table3[[#This Row],[Population 20 to 64 years unemployed]]/Cleandata_table3[[#This Row],[Population 20 to 64 years in civilian labor force]],"")</f>
        <v>4.4270833333333336E-2</v>
      </c>
      <c r="AI53" s="8">
        <f>IFERROR(Cleandata_table3[[#This Row],[Population 20 to 64 years in civilian labor force]]/Cleandata_table3[[#This Row],[Population 20 to 64 years for whom poverty status is determined]],"")</f>
        <v>0.89626556016597514</v>
      </c>
      <c r="AJ53" s="10">
        <f>IFERROR(Cleandata_table3[[#This Row],[Families with income in the past 12 months below poverty level]]/Cleandata_table3[[#This Row],[Families for whom poverty status is determined]],"")</f>
        <v>1.8240343347639486E-2</v>
      </c>
      <c r="AK53" s="8">
        <f>IFERROR(Cleandata_table3[[#This Row],[Population 20 to 64 years employed]]/Cleandata_table3[[#This Row],[Population 20 to 64 years for whom poverty status is determined]],"")</f>
        <v>0.85658713692946054</v>
      </c>
      <c r="AL53" s="8">
        <f>IFERROR(Cleandata_table3[[#This Row],[Population 20 to 64 years not in labor force]]/Cleandata_table3[[#This Row],[Population 20 to 64 years for whom poverty status is determined]],"")</f>
        <v>0.1037344398340249</v>
      </c>
      <c r="AM53" s="10">
        <f>IFERROR(Cleandata_table3[[#This Row],[Married-couple family with related children of the householder under 18 years below poverty]]/Cleandata_table3[[#This Row],[Families for whom poverty status is determined]],"")</f>
        <v>0</v>
      </c>
      <c r="AN53" s="10">
        <f>IFERROR(Cleandata_table3[[#This Row],[Married-couple family without related children of the householder under 18 years below poverty]]/Cleandata_table3[[#This Row],[Families for whom poverty status is determined]],"")</f>
        <v>1.8240343347639486E-2</v>
      </c>
      <c r="AO53" s="10">
        <f>IFERROR(Cleandata_table3[[#This Row],[Single parents with related children of the householder under 18 years below poverty]]/Cleandata_table3[[#This Row],[Families for whom poverty status is determined]],"")</f>
        <v>0</v>
      </c>
      <c r="AP53" s="10">
        <f>IFERROR(Cleandata_table3[[#This Row],[Other family below poverty]]/Cleandata_table3[[#This Row],[Families for whom poverty status is determined]],"")</f>
        <v>0</v>
      </c>
      <c r="AQ53" s="6">
        <f>IFERROR(Cleandata_table3[[#This Row],[Population 16 years and over in civilian labor force unemployed]]/Cleandata_table3[[#This Row],[Population 16 years and over in civilian labor force]],"")</f>
        <v>4.291725105189341E-2</v>
      </c>
      <c r="AR53" s="6">
        <f>IFERROR((Cleandata_table3[[#This Row],[Population 16 years and over in civilian labor force]]-Cleandata_table3[[#This Row],[Population 16 years and over in civilian labor force unemployed]])/Cleandata_table3[[#This Row],[Population 16 years and over]],"")</f>
        <v>0.7719457013574661</v>
      </c>
      <c r="AS53" s="6">
        <f>IFERROR(Cleandata_table3[[#This Row],[Population 16 years and over in civilian labor force]]/Cleandata_table3[[#This Row],[Population 16 years and over]],"")</f>
        <v>0.8065610859728507</v>
      </c>
      <c r="AT53" s="6">
        <f>IFERROR(Cleandata_table3[[#This Row],[Population 16 years and over not in labor force]]/Cleandata_table3[[#This Row],[Population 16 years and over]],"")</f>
        <v>0.19343891402714933</v>
      </c>
      <c r="AU53" t="str">
        <f>Cleandata_table3[[#This Row],[Neighborhood Name]]&amp; " | " &amp;Cleandata_table3[[#This Row],[Neighborhood Subtype]]</f>
        <v>North Capitol Hill | East</v>
      </c>
      <c r="AV53" t="s">
        <v>107</v>
      </c>
    </row>
    <row r="54" spans="1:48" x14ac:dyDescent="0.35">
      <c r="A54" t="s">
        <v>171</v>
      </c>
      <c r="B54" t="s">
        <v>105</v>
      </c>
      <c r="C54" t="s">
        <v>168</v>
      </c>
      <c r="D54" s="12">
        <v>7298</v>
      </c>
      <c r="E54" s="12">
        <v>2219</v>
      </c>
      <c r="F54" s="12">
        <v>5079</v>
      </c>
      <c r="G54" s="12">
        <v>168</v>
      </c>
      <c r="H54" s="12">
        <v>8233</v>
      </c>
      <c r="I54" s="12">
        <v>272</v>
      </c>
      <c r="J54" s="12">
        <v>282</v>
      </c>
      <c r="K54" s="12">
        <v>41</v>
      </c>
      <c r="L54" s="12">
        <v>114</v>
      </c>
      <c r="M54" s="12">
        <v>146</v>
      </c>
      <c r="N54" s="12">
        <v>142</v>
      </c>
      <c r="O54" s="12">
        <v>7236</v>
      </c>
      <c r="P54" s="12">
        <v>1830</v>
      </c>
      <c r="Q54" s="12">
        <v>9</v>
      </c>
      <c r="R54" s="12">
        <v>0</v>
      </c>
      <c r="S54" s="12">
        <v>0</v>
      </c>
      <c r="T54" s="12">
        <v>0</v>
      </c>
      <c r="U54" s="12">
        <v>9</v>
      </c>
      <c r="V54" s="12">
        <v>5837</v>
      </c>
      <c r="W54" s="12">
        <v>382</v>
      </c>
      <c r="X54" s="12">
        <v>4567</v>
      </c>
      <c r="Y54" s="12">
        <v>105</v>
      </c>
      <c r="Z54" s="12">
        <v>997</v>
      </c>
      <c r="AA54" s="12">
        <v>4704</v>
      </c>
      <c r="AB54" s="12">
        <v>181</v>
      </c>
      <c r="AC54" s="12">
        <v>1133</v>
      </c>
      <c r="AD54" s="12">
        <v>201</v>
      </c>
      <c r="AE54" s="12">
        <v>137</v>
      </c>
      <c r="AF54" s="12">
        <v>76</v>
      </c>
      <c r="AG54" s="8">
        <f>IFERROR(Cleandata_table3[[#This Row],[Population 20 to 64 years below poverty]]/Cleandata_table3[[#This Row],[Population 20 to 64 years for whom poverty status is determined]],"")</f>
        <v>6.54445776940209E-2</v>
      </c>
      <c r="AH54" s="8">
        <f>IFERROR(Cleandata_table3[[#This Row],[Population 20 to 64 years unemployed]]/Cleandata_table3[[#This Row],[Population 20 to 64 years in civilian labor force]],"")</f>
        <v>2.9124149659863947E-2</v>
      </c>
      <c r="AI54" s="8">
        <f>IFERROR(Cleandata_table3[[#This Row],[Population 20 to 64 years in civilian labor force]]/Cleandata_table3[[#This Row],[Population 20 to 64 years for whom poverty status is determined]],"")</f>
        <v>0.80589343841014216</v>
      </c>
      <c r="AJ54" s="10">
        <f>IFERROR(Cleandata_table3[[#This Row],[Families with income in the past 12 months below poverty level]]/Cleandata_table3[[#This Row],[Families for whom poverty status is determined]],"")</f>
        <v>4.9180327868852463E-3</v>
      </c>
      <c r="AK54" s="8">
        <f>IFERROR(Cleandata_table3[[#This Row],[Population 20 to 64 years employed]]/Cleandata_table3[[#This Row],[Population 20 to 64 years for whom poverty status is determined]],"")</f>
        <v>0.78242247729998282</v>
      </c>
      <c r="AL54" s="8">
        <f>IFERROR(Cleandata_table3[[#This Row],[Population 20 to 64 years not in labor force]]/Cleandata_table3[[#This Row],[Population 20 to 64 years for whom poverty status is determined]],"")</f>
        <v>0.19410656158985781</v>
      </c>
      <c r="AM54" s="10">
        <f>IFERROR(Cleandata_table3[[#This Row],[Married-couple family with related children of the householder under 18 years below poverty]]/Cleandata_table3[[#This Row],[Families for whom poverty status is determined]],"")</f>
        <v>0</v>
      </c>
      <c r="AN54" s="10">
        <f>IFERROR(Cleandata_table3[[#This Row],[Married-couple family without related children of the householder under 18 years below poverty]]/Cleandata_table3[[#This Row],[Families for whom poverty status is determined]],"")</f>
        <v>0</v>
      </c>
      <c r="AO54" s="10">
        <f>IFERROR(Cleandata_table3[[#This Row],[Single parents with related children of the householder under 18 years below poverty]]/Cleandata_table3[[#This Row],[Families for whom poverty status is determined]],"")</f>
        <v>0</v>
      </c>
      <c r="AP54" s="10">
        <f>IFERROR(Cleandata_table3[[#This Row],[Other family below poverty]]/Cleandata_table3[[#This Row],[Families for whom poverty status is determined]],"")</f>
        <v>4.9180327868852463E-3</v>
      </c>
      <c r="AQ54" s="6">
        <f>IFERROR(Cleandata_table3[[#This Row],[Population 16 years and over in civilian labor force unemployed]]/Cleandata_table3[[#This Row],[Population 16 years and over in civilian labor force]],"")</f>
        <v>3.3077377436503248E-2</v>
      </c>
      <c r="AR54" s="6">
        <f>IFERROR((Cleandata_table3[[#This Row],[Population 16 years and over in civilian labor force]]-Cleandata_table3[[#This Row],[Population 16 years and over in civilian labor force unemployed]])/Cleandata_table3[[#This Row],[Population 16 years and over]],"")</f>
        <v>0.67292408879144971</v>
      </c>
      <c r="AS54" s="6">
        <f>IFERROR(Cleandata_table3[[#This Row],[Population 16 years and over in civilian labor force]]/Cleandata_table3[[#This Row],[Population 16 years and over]],"")</f>
        <v>0.69594409427240345</v>
      </c>
      <c r="AT54" s="6">
        <f>IFERROR(Cleandata_table3[[#This Row],[Population 16 years and over not in labor force]]/Cleandata_table3[[#This Row],[Population 16 years and over]],"")</f>
        <v>0.30405590572759661</v>
      </c>
      <c r="AU54" t="str">
        <f>Cleandata_table3[[#This Row],[Neighborhood Name]]&amp; " | " &amp;Cleandata_table3[[#This Row],[Neighborhood Subtype]]</f>
        <v>Miller Park | East</v>
      </c>
      <c r="AV54" t="s">
        <v>107</v>
      </c>
    </row>
    <row r="55" spans="1:48" x14ac:dyDescent="0.35">
      <c r="A55" t="s">
        <v>172</v>
      </c>
      <c r="B55" t="s">
        <v>105</v>
      </c>
      <c r="C55" t="s">
        <v>168</v>
      </c>
      <c r="D55" s="12">
        <v>4933</v>
      </c>
      <c r="E55" s="12">
        <v>1920</v>
      </c>
      <c r="F55" s="12">
        <v>3013</v>
      </c>
      <c r="G55" s="12">
        <v>441</v>
      </c>
      <c r="H55" s="12">
        <v>5762</v>
      </c>
      <c r="I55" s="12">
        <v>19</v>
      </c>
      <c r="J55" s="12">
        <v>72</v>
      </c>
      <c r="K55" s="12">
        <v>16</v>
      </c>
      <c r="L55" s="12">
        <v>13</v>
      </c>
      <c r="M55" s="12">
        <v>205</v>
      </c>
      <c r="N55" s="12">
        <v>31</v>
      </c>
      <c r="O55" s="12">
        <v>5406</v>
      </c>
      <c r="P55" s="12">
        <v>1614</v>
      </c>
      <c r="Q55" s="12">
        <v>0</v>
      </c>
      <c r="R55" s="12">
        <v>0</v>
      </c>
      <c r="S55" s="12">
        <v>0</v>
      </c>
      <c r="T55" s="12">
        <v>0</v>
      </c>
      <c r="U55" s="12">
        <v>0</v>
      </c>
      <c r="V55" s="12">
        <v>3299</v>
      </c>
      <c r="W55" s="12">
        <v>72</v>
      </c>
      <c r="X55" s="12">
        <v>2440</v>
      </c>
      <c r="Y55" s="12">
        <v>0</v>
      </c>
      <c r="Z55" s="12">
        <v>356</v>
      </c>
      <c r="AA55" s="12">
        <v>2881</v>
      </c>
      <c r="AB55" s="12">
        <v>72</v>
      </c>
      <c r="AC55" s="12">
        <v>418</v>
      </c>
      <c r="AD55" s="12">
        <v>0</v>
      </c>
      <c r="AE55" s="12">
        <v>441</v>
      </c>
      <c r="AF55" s="12">
        <v>72</v>
      </c>
      <c r="AG55" s="8">
        <f>IFERROR(Cleandata_table3[[#This Row],[Population 20 to 64 years below poverty]]/Cleandata_table3[[#This Row],[Population 20 to 64 years for whom poverty status is determined]],"")</f>
        <v>2.1824795392543193E-2</v>
      </c>
      <c r="AH55" s="8">
        <f>IFERROR(Cleandata_table3[[#This Row],[Population 20 to 64 years unemployed]]/Cleandata_table3[[#This Row],[Population 20 to 64 years in civilian labor force]],"")</f>
        <v>0.15307185005206525</v>
      </c>
      <c r="AI55" s="8">
        <f>IFERROR(Cleandata_table3[[#This Row],[Population 20 to 64 years in civilian labor force]]/Cleandata_table3[[#This Row],[Population 20 to 64 years for whom poverty status is determined]],"")</f>
        <v>0.8732949378599576</v>
      </c>
      <c r="AJ55" s="10">
        <f>IFERROR(Cleandata_table3[[#This Row],[Families with income in the past 12 months below poverty level]]/Cleandata_table3[[#This Row],[Families for whom poverty status is determined]],"")</f>
        <v>0</v>
      </c>
      <c r="AK55" s="8">
        <f>IFERROR(Cleandata_table3[[#This Row],[Population 20 to 64 years employed]]/Cleandata_table3[[#This Row],[Population 20 to 64 years for whom poverty status is determined]],"")</f>
        <v>0.73961806608063052</v>
      </c>
      <c r="AL55" s="8">
        <f>IFERROR(Cleandata_table3[[#This Row],[Population 20 to 64 years not in labor force]]/Cleandata_table3[[#This Row],[Population 20 to 64 years for whom poverty status is determined]],"")</f>
        <v>0.12670506214004243</v>
      </c>
      <c r="AM55" s="10">
        <f>IFERROR(Cleandata_table3[[#This Row],[Married-couple family with related children of the householder under 18 years below poverty]]/Cleandata_table3[[#This Row],[Families for whom poverty status is determined]],"")</f>
        <v>0</v>
      </c>
      <c r="AN55" s="10">
        <f>IFERROR(Cleandata_table3[[#This Row],[Married-couple family without related children of the householder under 18 years below poverty]]/Cleandata_table3[[#This Row],[Families for whom poverty status is determined]],"")</f>
        <v>0</v>
      </c>
      <c r="AO55" s="10">
        <f>IFERROR(Cleandata_table3[[#This Row],[Single parents with related children of the householder under 18 years below poverty]]/Cleandata_table3[[#This Row],[Families for whom poverty status is determined]],"")</f>
        <v>0</v>
      </c>
      <c r="AP55" s="10">
        <f>IFERROR(Cleandata_table3[[#This Row],[Other family below poverty]]/Cleandata_table3[[#This Row],[Families for whom poverty status is determined]],"")</f>
        <v>0</v>
      </c>
      <c r="AQ55" s="6">
        <f>IFERROR(Cleandata_table3[[#This Row],[Population 16 years and over in civilian labor force unemployed]]/Cleandata_table3[[#This Row],[Population 16 years and over in civilian labor force]],"")</f>
        <v>0.14636574842349817</v>
      </c>
      <c r="AR55" s="6">
        <f>IFERROR((Cleandata_table3[[#This Row],[Population 16 years and over in civilian labor force]]-Cleandata_table3[[#This Row],[Population 16 years and over in civilian labor force unemployed]])/Cleandata_table3[[#This Row],[Population 16 years and over]],"")</f>
        <v>0.52138658017433614</v>
      </c>
      <c r="AS55" s="6">
        <f>IFERROR(Cleandata_table3[[#This Row],[Population 16 years and over in civilian labor force]]/Cleandata_table3[[#This Row],[Population 16 years and over]],"")</f>
        <v>0.61078451246705856</v>
      </c>
      <c r="AT55" s="6">
        <f>IFERROR(Cleandata_table3[[#This Row],[Population 16 years and over not in labor force]]/Cleandata_table3[[#This Row],[Population 16 years and over]],"")</f>
        <v>0.38921548753294144</v>
      </c>
      <c r="AU55" t="str">
        <f>Cleandata_table3[[#This Row],[Neighborhood Name]]&amp; " | " &amp;Cleandata_table3[[#This Row],[Neighborhood Subtype]]</f>
        <v>Madison Park | East</v>
      </c>
      <c r="AV55" t="s">
        <v>107</v>
      </c>
    </row>
    <row r="56" spans="1:48" x14ac:dyDescent="0.35">
      <c r="A56" t="s">
        <v>173</v>
      </c>
      <c r="B56" t="s">
        <v>105</v>
      </c>
      <c r="C56" t="s">
        <v>174</v>
      </c>
      <c r="D56" s="12">
        <v>8940</v>
      </c>
      <c r="E56" s="12">
        <v>2045</v>
      </c>
      <c r="F56" s="12">
        <v>6895</v>
      </c>
      <c r="G56" s="12">
        <v>391</v>
      </c>
      <c r="H56" s="12">
        <v>10314</v>
      </c>
      <c r="I56" s="12">
        <v>355</v>
      </c>
      <c r="J56" s="12">
        <v>563</v>
      </c>
      <c r="K56" s="12">
        <v>75</v>
      </c>
      <c r="L56" s="12">
        <v>161</v>
      </c>
      <c r="M56" s="12">
        <v>181</v>
      </c>
      <c r="N56" s="12">
        <v>38</v>
      </c>
      <c r="O56" s="12">
        <v>8941</v>
      </c>
      <c r="P56" s="12">
        <v>2414</v>
      </c>
      <c r="Q56" s="12">
        <v>95</v>
      </c>
      <c r="R56" s="12">
        <v>34</v>
      </c>
      <c r="S56" s="12">
        <v>26</v>
      </c>
      <c r="T56" s="12">
        <v>26</v>
      </c>
      <c r="U56" s="12">
        <v>9</v>
      </c>
      <c r="V56" s="12">
        <v>7442</v>
      </c>
      <c r="W56" s="12">
        <v>707</v>
      </c>
      <c r="X56" s="12">
        <v>6137</v>
      </c>
      <c r="Y56" s="12">
        <v>412</v>
      </c>
      <c r="Z56" s="12">
        <v>1373</v>
      </c>
      <c r="AA56" s="12">
        <v>6528</v>
      </c>
      <c r="AB56" s="12">
        <v>497</v>
      </c>
      <c r="AC56" s="12">
        <v>914</v>
      </c>
      <c r="AD56" s="12">
        <v>210</v>
      </c>
      <c r="AE56" s="12">
        <v>391</v>
      </c>
      <c r="AF56" s="12">
        <v>85</v>
      </c>
      <c r="AG56" s="8">
        <f>IFERROR(Cleandata_table3[[#This Row],[Population 20 to 64 years below poverty]]/Cleandata_table3[[#This Row],[Population 20 to 64 years for whom poverty status is determined]],"")</f>
        <v>9.5001343724805162E-2</v>
      </c>
      <c r="AH56" s="8">
        <f>IFERROR(Cleandata_table3[[#This Row],[Population 20 to 64 years unemployed]]/Cleandata_table3[[#This Row],[Population 20 to 64 years in civilian labor force]],"")</f>
        <v>5.9895833333333336E-2</v>
      </c>
      <c r="AI56" s="8">
        <f>IFERROR(Cleandata_table3[[#This Row],[Population 20 to 64 years in civilian labor force]]/Cleandata_table3[[#This Row],[Population 20 to 64 years for whom poverty status is determined]],"")</f>
        <v>0.87718355280838489</v>
      </c>
      <c r="AJ56" s="10">
        <f>IFERROR(Cleandata_table3[[#This Row],[Families with income in the past 12 months below poverty level]]/Cleandata_table3[[#This Row],[Families for whom poverty status is determined]],"")</f>
        <v>3.9353769676884837E-2</v>
      </c>
      <c r="AK56" s="8">
        <f>IFERROR(Cleandata_table3[[#This Row],[Population 20 to 64 years employed]]/Cleandata_table3[[#This Row],[Population 20 to 64 years for whom poverty status is determined]],"")</f>
        <v>0.82464391292663264</v>
      </c>
      <c r="AL56" s="8">
        <f>IFERROR(Cleandata_table3[[#This Row],[Population 20 to 64 years not in labor force]]/Cleandata_table3[[#This Row],[Population 20 to 64 years for whom poverty status is determined]],"")</f>
        <v>0.12281644719161516</v>
      </c>
      <c r="AM56" s="10">
        <f>IFERROR(Cleandata_table3[[#This Row],[Married-couple family with related children of the householder under 18 years below poverty]]/Cleandata_table3[[#This Row],[Families for whom poverty status is determined]],"")</f>
        <v>1.4084507042253521E-2</v>
      </c>
      <c r="AN56" s="10">
        <f>IFERROR(Cleandata_table3[[#This Row],[Married-couple family without related children of the householder under 18 years below poverty]]/Cleandata_table3[[#This Row],[Families for whom poverty status is determined]],"")</f>
        <v>1.0770505385252692E-2</v>
      </c>
      <c r="AO56" s="10">
        <f>IFERROR(Cleandata_table3[[#This Row],[Single parents with related children of the householder under 18 years below poverty]]/Cleandata_table3[[#This Row],[Families for whom poverty status is determined]],"")</f>
        <v>1.0770505385252692E-2</v>
      </c>
      <c r="AP56" s="10">
        <f>IFERROR(Cleandata_table3[[#This Row],[Other family below poverty]]/Cleandata_table3[[#This Row],[Families for whom poverty status is determined]],"")</f>
        <v>3.728251864125932E-3</v>
      </c>
      <c r="AQ56" s="6">
        <f>IFERROR(Cleandata_table3[[#This Row],[Population 16 years and over in civilian labor force unemployed]]/Cleandata_table3[[#This Row],[Population 16 years and over in civilian labor force]],"")</f>
        <v>5.6707759245830311E-2</v>
      </c>
      <c r="AR56" s="6">
        <f>IFERROR((Cleandata_table3[[#This Row],[Population 16 years and over in civilian labor force]]-Cleandata_table3[[#This Row],[Population 16 years and over in civilian labor force unemployed]])/Cleandata_table3[[#This Row],[Population 16 years and over]],"")</f>
        <v>0.72751677852348995</v>
      </c>
      <c r="AS56" s="6">
        <f>IFERROR(Cleandata_table3[[#This Row],[Population 16 years and over in civilian labor force]]/Cleandata_table3[[#This Row],[Population 16 years and over]],"")</f>
        <v>0.77125279642058164</v>
      </c>
      <c r="AT56" s="6">
        <f>IFERROR(Cleandata_table3[[#This Row],[Population 16 years and over not in labor force]]/Cleandata_table3[[#This Row],[Population 16 years and over]],"")</f>
        <v>0.22874720357941836</v>
      </c>
      <c r="AU56" t="str">
        <f>Cleandata_table3[[#This Row],[Neighborhood Name]]&amp; " | " &amp;Cleandata_table3[[#This Row],[Neighborhood Subtype]]</f>
        <v>Montlake/Portage Bay | Northeast</v>
      </c>
      <c r="AV56" t="s">
        <v>107</v>
      </c>
    </row>
    <row r="57" spans="1:48" x14ac:dyDescent="0.35">
      <c r="A57" t="s">
        <v>175</v>
      </c>
      <c r="B57" t="s">
        <v>105</v>
      </c>
      <c r="C57" t="s">
        <v>174</v>
      </c>
      <c r="D57" s="12">
        <v>22571</v>
      </c>
      <c r="E57" s="12">
        <v>10142</v>
      </c>
      <c r="F57" s="12">
        <v>12429</v>
      </c>
      <c r="G57" s="12">
        <v>1043</v>
      </c>
      <c r="H57" s="12">
        <v>14049</v>
      </c>
      <c r="I57" s="12">
        <v>3881</v>
      </c>
      <c r="J57" s="12">
        <v>1486</v>
      </c>
      <c r="K57" s="12">
        <v>491</v>
      </c>
      <c r="L57" s="12">
        <v>479</v>
      </c>
      <c r="M57" s="12">
        <v>773</v>
      </c>
      <c r="N57" s="12">
        <v>308</v>
      </c>
      <c r="O57" s="12">
        <v>6631</v>
      </c>
      <c r="P57" s="12">
        <v>1253</v>
      </c>
      <c r="Q57" s="12">
        <v>187</v>
      </c>
      <c r="R57" s="12">
        <v>14</v>
      </c>
      <c r="S57" s="12">
        <v>0</v>
      </c>
      <c r="T57" s="12">
        <v>119</v>
      </c>
      <c r="U57" s="12">
        <v>54</v>
      </c>
      <c r="V57" s="12">
        <v>11825</v>
      </c>
      <c r="W57" s="12">
        <v>4581</v>
      </c>
      <c r="X57" s="12">
        <v>7962</v>
      </c>
      <c r="Y57" s="12">
        <v>1732</v>
      </c>
      <c r="Z57" s="12">
        <v>7418</v>
      </c>
      <c r="AA57" s="12">
        <v>8332</v>
      </c>
      <c r="AB57" s="12">
        <v>2026</v>
      </c>
      <c r="AC57" s="12">
        <v>3493</v>
      </c>
      <c r="AD57" s="12">
        <v>2555</v>
      </c>
      <c r="AE57" s="12">
        <v>370</v>
      </c>
      <c r="AF57" s="12">
        <v>294</v>
      </c>
      <c r="AG57" s="8">
        <f>IFERROR(Cleandata_table3[[#This Row],[Population 20 to 64 years below poverty]]/Cleandata_table3[[#This Row],[Population 20 to 64 years for whom poverty status is determined]],"")</f>
        <v>0.387399577167019</v>
      </c>
      <c r="AH57" s="8">
        <f>IFERROR(Cleandata_table3[[#This Row],[Population 20 to 64 years unemployed]]/Cleandata_table3[[#This Row],[Population 20 to 64 years in civilian labor force]],"")</f>
        <v>4.4407105136821889E-2</v>
      </c>
      <c r="AI57" s="8">
        <f>IFERROR(Cleandata_table3[[#This Row],[Population 20 to 64 years in civilian labor force]]/Cleandata_table3[[#This Row],[Population 20 to 64 years for whom poverty status is determined]],"")</f>
        <v>0.70460887949260043</v>
      </c>
      <c r="AJ57" s="10">
        <f>IFERROR(Cleandata_table3[[#This Row],[Families with income in the past 12 months below poverty level]]/Cleandata_table3[[#This Row],[Families for whom poverty status is determined]],"")</f>
        <v>0.14924181963288108</v>
      </c>
      <c r="AK57" s="8">
        <f>IFERROR(Cleandata_table3[[#This Row],[Population 20 to 64 years employed]]/Cleandata_table3[[#This Row],[Population 20 to 64 years for whom poverty status is determined]],"")</f>
        <v>0.67331923890063428</v>
      </c>
      <c r="AL57" s="8">
        <f>IFERROR(Cleandata_table3[[#This Row],[Population 20 to 64 years not in labor force]]/Cleandata_table3[[#This Row],[Population 20 to 64 years for whom poverty status is determined]],"")</f>
        <v>0.29539112050739957</v>
      </c>
      <c r="AM57" s="10">
        <f>IFERROR(Cleandata_table3[[#This Row],[Married-couple family with related children of the householder under 18 years below poverty]]/Cleandata_table3[[#This Row],[Families for whom poverty status is determined]],"")</f>
        <v>1.11731843575419E-2</v>
      </c>
      <c r="AN57" s="10">
        <f>IFERROR(Cleandata_table3[[#This Row],[Married-couple family without related children of the householder under 18 years below poverty]]/Cleandata_table3[[#This Row],[Families for whom poverty status is determined]],"")</f>
        <v>0</v>
      </c>
      <c r="AO57" s="10">
        <f>IFERROR(Cleandata_table3[[#This Row],[Single parents with related children of the householder under 18 years below poverty]]/Cleandata_table3[[#This Row],[Families for whom poverty status is determined]],"")</f>
        <v>9.4972067039106142E-2</v>
      </c>
      <c r="AP57" s="10">
        <f>IFERROR(Cleandata_table3[[#This Row],[Other family below poverty]]/Cleandata_table3[[#This Row],[Families for whom poverty status is determined]],"")</f>
        <v>4.3096568236233042E-2</v>
      </c>
      <c r="AQ57" s="6">
        <f>IFERROR(Cleandata_table3[[#This Row],[Population 16 years and over in civilian labor force unemployed]]/Cleandata_table3[[#This Row],[Population 16 years and over in civilian labor force]],"")</f>
        <v>8.3916646552417734E-2</v>
      </c>
      <c r="AR57" s="6">
        <f>IFERROR((Cleandata_table3[[#This Row],[Population 16 years and over in civilian labor force]]-Cleandata_table3[[#This Row],[Population 16 years and over in civilian labor force unemployed]])/Cleandata_table3[[#This Row],[Population 16 years and over]],"")</f>
        <v>0.50445261618891502</v>
      </c>
      <c r="AS57" s="6">
        <f>IFERROR(Cleandata_table3[[#This Row],[Population 16 years and over in civilian labor force]]/Cleandata_table3[[#This Row],[Population 16 years and over]],"")</f>
        <v>0.5506623543485003</v>
      </c>
      <c r="AT57" s="6">
        <f>IFERROR(Cleandata_table3[[#This Row],[Population 16 years and over not in labor force]]/Cleandata_table3[[#This Row],[Population 16 years and over]],"")</f>
        <v>0.4493376456514997</v>
      </c>
      <c r="AU57" t="str">
        <f>Cleandata_table3[[#This Row],[Neighborhood Name]]&amp; " | " &amp;Cleandata_table3[[#This Row],[Neighborhood Subtype]]</f>
        <v>University District | Northeast</v>
      </c>
      <c r="AV57" t="s">
        <v>107</v>
      </c>
    </row>
    <row r="58" spans="1:48" x14ac:dyDescent="0.35">
      <c r="A58" t="s">
        <v>176</v>
      </c>
      <c r="B58" t="s">
        <v>105</v>
      </c>
      <c r="C58" t="s">
        <v>174</v>
      </c>
      <c r="D58" s="12">
        <v>23569</v>
      </c>
      <c r="E58" s="12">
        <v>6669</v>
      </c>
      <c r="F58" s="12">
        <v>16890</v>
      </c>
      <c r="G58" s="12">
        <v>550</v>
      </c>
      <c r="H58" s="12">
        <v>26741</v>
      </c>
      <c r="I58" s="12">
        <v>1819</v>
      </c>
      <c r="J58" s="12">
        <v>1033</v>
      </c>
      <c r="K58" s="12">
        <v>627</v>
      </c>
      <c r="L58" s="12">
        <v>396</v>
      </c>
      <c r="M58" s="12">
        <v>720</v>
      </c>
      <c r="N58" s="12">
        <v>316</v>
      </c>
      <c r="O58" s="12">
        <v>21830</v>
      </c>
      <c r="P58" s="12">
        <v>5829</v>
      </c>
      <c r="Q58" s="12">
        <v>102</v>
      </c>
      <c r="R58" s="12">
        <v>10</v>
      </c>
      <c r="S58" s="12">
        <v>20</v>
      </c>
      <c r="T58" s="12">
        <v>39</v>
      </c>
      <c r="U58" s="12">
        <v>33</v>
      </c>
      <c r="V58" s="12">
        <v>18651</v>
      </c>
      <c r="W58" s="12">
        <v>2425</v>
      </c>
      <c r="X58" s="12">
        <v>14898</v>
      </c>
      <c r="Y58" s="12">
        <v>865</v>
      </c>
      <c r="Z58" s="12">
        <v>4911</v>
      </c>
      <c r="AA58" s="12">
        <v>15339</v>
      </c>
      <c r="AB58" s="12">
        <v>1033</v>
      </c>
      <c r="AC58" s="12">
        <v>3302</v>
      </c>
      <c r="AD58" s="12">
        <v>1392</v>
      </c>
      <c r="AE58" s="12">
        <v>441</v>
      </c>
      <c r="AF58" s="12">
        <v>168</v>
      </c>
      <c r="AG58" s="8">
        <f>IFERROR(Cleandata_table3[[#This Row],[Population 20 to 64 years below poverty]]/Cleandata_table3[[#This Row],[Population 20 to 64 years for whom poverty status is determined]],"")</f>
        <v>0.13001983807838721</v>
      </c>
      <c r="AH58" s="8">
        <f>IFERROR(Cleandata_table3[[#This Row],[Population 20 to 64 years unemployed]]/Cleandata_table3[[#This Row],[Population 20 to 64 years in civilian labor force]],"")</f>
        <v>2.8750244474867983E-2</v>
      </c>
      <c r="AI58" s="8">
        <f>IFERROR(Cleandata_table3[[#This Row],[Population 20 to 64 years in civilian labor force]]/Cleandata_table3[[#This Row],[Population 20 to 64 years for whom poverty status is determined]],"")</f>
        <v>0.82242239022036356</v>
      </c>
      <c r="AJ58" s="10">
        <f>IFERROR(Cleandata_table3[[#This Row],[Families with income in the past 12 months below poverty level]]/Cleandata_table3[[#This Row],[Families for whom poverty status is determined]],"")</f>
        <v>1.7498713329902212E-2</v>
      </c>
      <c r="AK58" s="8">
        <f>IFERROR(Cleandata_table3[[#This Row],[Population 20 to 64 years employed]]/Cleandata_table3[[#This Row],[Population 20 to 64 years for whom poverty status is determined]],"")</f>
        <v>0.79877754543992274</v>
      </c>
      <c r="AL58" s="8">
        <f>IFERROR(Cleandata_table3[[#This Row],[Population 20 to 64 years not in labor force]]/Cleandata_table3[[#This Row],[Population 20 to 64 years for whom poverty status is determined]],"")</f>
        <v>0.17704144549890086</v>
      </c>
      <c r="AM58" s="10">
        <f>IFERROR(Cleandata_table3[[#This Row],[Married-couple family with related children of the householder under 18 years below poverty]]/Cleandata_table3[[#This Row],[Families for whom poverty status is determined]],"")</f>
        <v>1.7155601303825698E-3</v>
      </c>
      <c r="AN58" s="10">
        <f>IFERROR(Cleandata_table3[[#This Row],[Married-couple family without related children of the householder under 18 years below poverty]]/Cleandata_table3[[#This Row],[Families for whom poverty status is determined]],"")</f>
        <v>3.4311202607651397E-3</v>
      </c>
      <c r="AO58" s="10">
        <f>IFERROR(Cleandata_table3[[#This Row],[Single parents with related children of the householder under 18 years below poverty]]/Cleandata_table3[[#This Row],[Families for whom poverty status is determined]],"")</f>
        <v>6.6906845084920225E-3</v>
      </c>
      <c r="AP58" s="10">
        <f>IFERROR(Cleandata_table3[[#This Row],[Other family below poverty]]/Cleandata_table3[[#This Row],[Families for whom poverty status is determined]],"")</f>
        <v>5.6613484302624811E-3</v>
      </c>
      <c r="AQ58" s="6">
        <f>IFERROR(Cleandata_table3[[#This Row],[Population 16 years and over in civilian labor force unemployed]]/Cleandata_table3[[#This Row],[Population 16 years and over in civilian labor force]],"")</f>
        <v>3.2563647128478389E-2</v>
      </c>
      <c r="AR58" s="6">
        <f>IFERROR((Cleandata_table3[[#This Row],[Population 16 years and over in civilian labor force]]-Cleandata_table3[[#This Row],[Population 16 years and over in civilian labor force unemployed]])/Cleandata_table3[[#This Row],[Population 16 years and over]],"")</f>
        <v>0.69328355042640755</v>
      </c>
      <c r="AS58" s="6">
        <f>IFERROR(Cleandata_table3[[#This Row],[Population 16 years and over in civilian labor force]]/Cleandata_table3[[#This Row],[Population 16 years and over]],"")</f>
        <v>0.71661928804785946</v>
      </c>
      <c r="AT58" s="6">
        <f>IFERROR(Cleandata_table3[[#This Row],[Population 16 years and over not in labor force]]/Cleandata_table3[[#This Row],[Population 16 years and over]],"")</f>
        <v>0.28295642581356867</v>
      </c>
      <c r="AU58" t="str">
        <f>Cleandata_table3[[#This Row],[Neighborhood Name]]&amp; " | " &amp;Cleandata_table3[[#This Row],[Neighborhood Subtype]]</f>
        <v>Ravenna/Bryant | Northeast</v>
      </c>
      <c r="AV58" t="s">
        <v>107</v>
      </c>
    </row>
    <row r="59" spans="1:48" x14ac:dyDescent="0.35">
      <c r="A59" t="s">
        <v>177</v>
      </c>
      <c r="B59" t="s">
        <v>105</v>
      </c>
      <c r="C59" t="s">
        <v>174</v>
      </c>
      <c r="D59" s="12">
        <v>14244</v>
      </c>
      <c r="E59" s="12">
        <v>3911</v>
      </c>
      <c r="F59" s="12">
        <v>10320</v>
      </c>
      <c r="G59" s="12">
        <v>393</v>
      </c>
      <c r="H59" s="12">
        <v>17392</v>
      </c>
      <c r="I59" s="12">
        <v>171</v>
      </c>
      <c r="J59" s="12">
        <v>514</v>
      </c>
      <c r="K59" s="12">
        <v>109</v>
      </c>
      <c r="L59" s="12">
        <v>214</v>
      </c>
      <c r="M59" s="12">
        <v>278</v>
      </c>
      <c r="N59" s="12">
        <v>254</v>
      </c>
      <c r="O59" s="12">
        <v>15852</v>
      </c>
      <c r="P59" s="12">
        <v>4742</v>
      </c>
      <c r="Q59" s="12">
        <v>95</v>
      </c>
      <c r="R59" s="12">
        <v>6</v>
      </c>
      <c r="S59" s="12">
        <v>89</v>
      </c>
      <c r="T59" s="12">
        <v>0</v>
      </c>
      <c r="U59" s="12">
        <v>0</v>
      </c>
      <c r="V59" s="12">
        <v>10857</v>
      </c>
      <c r="W59" s="12">
        <v>486</v>
      </c>
      <c r="X59" s="12">
        <v>9158</v>
      </c>
      <c r="Y59" s="12">
        <v>248</v>
      </c>
      <c r="Z59" s="12">
        <v>1540</v>
      </c>
      <c r="AA59" s="12">
        <v>9438</v>
      </c>
      <c r="AB59" s="12">
        <v>265</v>
      </c>
      <c r="AC59" s="12">
        <v>1406</v>
      </c>
      <c r="AD59" s="12">
        <v>221</v>
      </c>
      <c r="AE59" s="12">
        <v>280</v>
      </c>
      <c r="AF59" s="12">
        <v>17</v>
      </c>
      <c r="AG59" s="8">
        <f>IFERROR(Cleandata_table3[[#This Row],[Population 20 to 64 years below poverty]]/Cleandata_table3[[#This Row],[Population 20 to 64 years for whom poverty status is determined]],"")</f>
        <v>4.4763746891406463E-2</v>
      </c>
      <c r="AH59" s="8">
        <f>IFERROR(Cleandata_table3[[#This Row],[Population 20 to 64 years unemployed]]/Cleandata_table3[[#This Row],[Population 20 to 64 years in civilian labor force]],"")</f>
        <v>2.9667302394575122E-2</v>
      </c>
      <c r="AI59" s="8">
        <f>IFERROR(Cleandata_table3[[#This Row],[Population 20 to 64 years in civilian labor force]]/Cleandata_table3[[#This Row],[Population 20 to 64 years for whom poverty status is determined]],"")</f>
        <v>0.8693009118541033</v>
      </c>
      <c r="AJ59" s="10">
        <f>IFERROR(Cleandata_table3[[#This Row],[Families with income in the past 12 months below poverty level]]/Cleandata_table3[[#This Row],[Families for whom poverty status is determined]],"")</f>
        <v>2.0033741037536905E-2</v>
      </c>
      <c r="AK59" s="8">
        <f>IFERROR(Cleandata_table3[[#This Row],[Population 20 to 64 years employed]]/Cleandata_table3[[#This Row],[Population 20 to 64 years for whom poverty status is determined]],"")</f>
        <v>0.84351109883024777</v>
      </c>
      <c r="AL59" s="8">
        <f>IFERROR(Cleandata_table3[[#This Row],[Population 20 to 64 years not in labor force]]/Cleandata_table3[[#This Row],[Population 20 to 64 years for whom poverty status is determined]],"")</f>
        <v>0.12950170396978908</v>
      </c>
      <c r="AM59" s="10">
        <f>IFERROR(Cleandata_table3[[#This Row],[Married-couple family with related children of the householder under 18 years below poverty]]/Cleandata_table3[[#This Row],[Families for whom poverty status is determined]],"")</f>
        <v>1.2652889076339097E-3</v>
      </c>
      <c r="AN59" s="10">
        <f>IFERROR(Cleandata_table3[[#This Row],[Married-couple family without related children of the householder under 18 years below poverty]]/Cleandata_table3[[#This Row],[Families for whom poverty status is determined]],"")</f>
        <v>1.8768452129902996E-2</v>
      </c>
      <c r="AO59" s="10">
        <f>IFERROR(Cleandata_table3[[#This Row],[Single parents with related children of the householder under 18 years below poverty]]/Cleandata_table3[[#This Row],[Families for whom poverty status is determined]],"")</f>
        <v>0</v>
      </c>
      <c r="AP59" s="10">
        <f>IFERROR(Cleandata_table3[[#This Row],[Other family below poverty]]/Cleandata_table3[[#This Row],[Families for whom poverty status is determined]],"")</f>
        <v>0</v>
      </c>
      <c r="AQ59" s="6">
        <f>IFERROR(Cleandata_table3[[#This Row],[Population 16 years and over in civilian labor force unemployed]]/Cleandata_table3[[#This Row],[Population 16 years and over in civilian labor force]],"")</f>
        <v>3.8081395348837206E-2</v>
      </c>
      <c r="AR59" s="6">
        <f>IFERROR((Cleandata_table3[[#This Row],[Population 16 years and over in civilian labor force]]-Cleandata_table3[[#This Row],[Population 16 years and over in civilian labor force unemployed]])/Cleandata_table3[[#This Row],[Population 16 years and over]],"")</f>
        <v>0.69692502106149956</v>
      </c>
      <c r="AS59" s="6">
        <f>IFERROR(Cleandata_table3[[#This Row],[Population 16 years and over in civilian labor force]]/Cleandata_table3[[#This Row],[Population 16 years and over]],"")</f>
        <v>0.72451558550968831</v>
      </c>
      <c r="AT59" s="6">
        <f>IFERROR(Cleandata_table3[[#This Row],[Population 16 years and over not in labor force]]/Cleandata_table3[[#This Row],[Population 16 years and over]],"")</f>
        <v>0.274571749508565</v>
      </c>
      <c r="AU59" t="str">
        <f>Cleandata_table3[[#This Row],[Neighborhood Name]]&amp; " | " &amp;Cleandata_table3[[#This Row],[Neighborhood Subtype]]</f>
        <v>Wedgwood/View Ridge | Northeast</v>
      </c>
      <c r="AV59" t="s">
        <v>107</v>
      </c>
    </row>
    <row r="60" spans="1:48" x14ac:dyDescent="0.35">
      <c r="A60" t="s">
        <v>178</v>
      </c>
      <c r="B60" t="s">
        <v>105</v>
      </c>
      <c r="C60" t="s">
        <v>174</v>
      </c>
      <c r="D60" s="12">
        <v>8634</v>
      </c>
      <c r="E60" s="12">
        <v>3120</v>
      </c>
      <c r="F60" s="12">
        <v>5485</v>
      </c>
      <c r="G60" s="12">
        <v>226</v>
      </c>
      <c r="H60" s="12">
        <v>11147</v>
      </c>
      <c r="I60" s="12">
        <v>350</v>
      </c>
      <c r="J60" s="12">
        <v>409</v>
      </c>
      <c r="K60" s="12">
        <v>72</v>
      </c>
      <c r="L60" s="12">
        <v>66</v>
      </c>
      <c r="M60" s="12">
        <v>92</v>
      </c>
      <c r="N60" s="12">
        <v>28</v>
      </c>
      <c r="O60" s="12">
        <v>10130</v>
      </c>
      <c r="P60" s="12">
        <v>3029</v>
      </c>
      <c r="Q60" s="12">
        <v>76</v>
      </c>
      <c r="R60" s="12">
        <v>18</v>
      </c>
      <c r="S60" s="12">
        <v>10</v>
      </c>
      <c r="T60" s="12">
        <v>44</v>
      </c>
      <c r="U60" s="12">
        <v>4</v>
      </c>
      <c r="V60" s="12">
        <v>6032</v>
      </c>
      <c r="W60" s="12">
        <v>524</v>
      </c>
      <c r="X60" s="12">
        <v>4665</v>
      </c>
      <c r="Y60" s="12">
        <v>203</v>
      </c>
      <c r="Z60" s="12">
        <v>1017</v>
      </c>
      <c r="AA60" s="12">
        <v>4861</v>
      </c>
      <c r="AB60" s="12">
        <v>254</v>
      </c>
      <c r="AC60" s="12">
        <v>1142</v>
      </c>
      <c r="AD60" s="12">
        <v>270</v>
      </c>
      <c r="AE60" s="12">
        <v>196</v>
      </c>
      <c r="AF60" s="12">
        <v>51</v>
      </c>
      <c r="AG60" s="8">
        <f>IFERROR(Cleandata_table3[[#This Row],[Population 20 to 64 years below poverty]]/Cleandata_table3[[#This Row],[Population 20 to 64 years for whom poverty status is determined]],"")</f>
        <v>8.6870026525198943E-2</v>
      </c>
      <c r="AH60" s="8">
        <f>IFERROR(Cleandata_table3[[#This Row],[Population 20 to 64 years unemployed]]/Cleandata_table3[[#This Row],[Population 20 to 64 years in civilian labor force]],"")</f>
        <v>4.0320921621065625E-2</v>
      </c>
      <c r="AI60" s="8">
        <f>IFERROR(Cleandata_table3[[#This Row],[Population 20 to 64 years in civilian labor force]]/Cleandata_table3[[#This Row],[Population 20 to 64 years for whom poverty status is determined]],"")</f>
        <v>0.80586870026525204</v>
      </c>
      <c r="AJ60" s="10">
        <f>IFERROR(Cleandata_table3[[#This Row],[Families with income in the past 12 months below poverty level]]/Cleandata_table3[[#This Row],[Families for whom poverty status is determined]],"")</f>
        <v>2.5090789039286892E-2</v>
      </c>
      <c r="AK60" s="8">
        <f>IFERROR(Cleandata_table3[[#This Row],[Population 20 to 64 years employed]]/Cleandata_table3[[#This Row],[Population 20 to 64 years for whom poverty status is determined]],"")</f>
        <v>0.77337533156498672</v>
      </c>
      <c r="AL60" s="8">
        <f>IFERROR(Cleandata_table3[[#This Row],[Population 20 to 64 years not in labor force]]/Cleandata_table3[[#This Row],[Population 20 to 64 years for whom poverty status is determined]],"")</f>
        <v>0.1893236074270557</v>
      </c>
      <c r="AM60" s="10">
        <f>IFERROR(Cleandata_table3[[#This Row],[Married-couple family with related children of the householder under 18 years below poverty]]/Cleandata_table3[[#This Row],[Families for whom poverty status is determined]],"")</f>
        <v>5.9425552987784746E-3</v>
      </c>
      <c r="AN60" s="10">
        <f>IFERROR(Cleandata_table3[[#This Row],[Married-couple family without related children of the householder under 18 years below poverty]]/Cleandata_table3[[#This Row],[Families for whom poverty status is determined]],"")</f>
        <v>3.3014196104324861E-3</v>
      </c>
      <c r="AO60" s="10">
        <f>IFERROR(Cleandata_table3[[#This Row],[Single parents with related children of the householder under 18 years below poverty]]/Cleandata_table3[[#This Row],[Families for whom poverty status is determined]],"")</f>
        <v>1.4526246285902938E-2</v>
      </c>
      <c r="AP60" s="10">
        <f>IFERROR(Cleandata_table3[[#This Row],[Other family below poverty]]/Cleandata_table3[[#This Row],[Families for whom poverty status is determined]],"")</f>
        <v>1.3205678441729944E-3</v>
      </c>
      <c r="AQ60" s="6">
        <f>IFERROR(Cleandata_table3[[#This Row],[Population 16 years and over in civilian labor force unemployed]]/Cleandata_table3[[#This Row],[Population 16 years and over in civilian labor force]],"")</f>
        <v>4.120328167730173E-2</v>
      </c>
      <c r="AR60" s="6">
        <f>IFERROR((Cleandata_table3[[#This Row],[Population 16 years and over in civilian labor force]]-Cleandata_table3[[#This Row],[Population 16 years and over in civilian labor force unemployed]])/Cleandata_table3[[#This Row],[Population 16 years and over]],"")</f>
        <v>0.6091035441278666</v>
      </c>
      <c r="AS60" s="6">
        <f>IFERROR(Cleandata_table3[[#This Row],[Population 16 years and over in civilian labor force]]/Cleandata_table3[[#This Row],[Population 16 years and over]],"")</f>
        <v>0.63527912902478578</v>
      </c>
      <c r="AT60" s="6">
        <f>IFERROR(Cleandata_table3[[#This Row],[Population 16 years and over not in labor force]]/Cleandata_table3[[#This Row],[Population 16 years and over]],"")</f>
        <v>0.36136205698401669</v>
      </c>
      <c r="AU60" t="str">
        <f>Cleandata_table3[[#This Row],[Neighborhood Name]]&amp; " | " &amp;Cleandata_table3[[#This Row],[Neighborhood Subtype]]</f>
        <v>Laurelhurst/Sand Point | Northeast</v>
      </c>
      <c r="AV60" t="s">
        <v>107</v>
      </c>
    </row>
    <row r="61" spans="1:48" x14ac:dyDescent="0.35">
      <c r="A61" t="s">
        <v>179</v>
      </c>
      <c r="B61" t="s">
        <v>105</v>
      </c>
      <c r="C61" t="s">
        <v>106</v>
      </c>
      <c r="D61" s="12">
        <v>15064</v>
      </c>
      <c r="E61" s="12">
        <v>4879</v>
      </c>
      <c r="F61" s="12">
        <v>10185</v>
      </c>
      <c r="G61" s="12">
        <v>534</v>
      </c>
      <c r="H61" s="12">
        <v>17199</v>
      </c>
      <c r="I61" s="12">
        <v>1266</v>
      </c>
      <c r="J61" s="12">
        <v>1047</v>
      </c>
      <c r="K61" s="12">
        <v>587</v>
      </c>
      <c r="L61" s="12">
        <v>304</v>
      </c>
      <c r="M61" s="12">
        <v>274</v>
      </c>
      <c r="N61" s="12">
        <v>282</v>
      </c>
      <c r="O61" s="12">
        <v>13439</v>
      </c>
      <c r="P61" s="12">
        <v>3955</v>
      </c>
      <c r="Q61" s="12">
        <v>502</v>
      </c>
      <c r="R61" s="12">
        <v>12</v>
      </c>
      <c r="S61" s="12">
        <v>170</v>
      </c>
      <c r="T61" s="12">
        <v>203</v>
      </c>
      <c r="U61" s="12">
        <v>117</v>
      </c>
      <c r="V61" s="12">
        <v>11406</v>
      </c>
      <c r="W61" s="12">
        <v>1690</v>
      </c>
      <c r="X61" s="12">
        <v>8865</v>
      </c>
      <c r="Y61" s="12">
        <v>469</v>
      </c>
      <c r="Z61" s="12">
        <v>3760</v>
      </c>
      <c r="AA61" s="12">
        <v>9323</v>
      </c>
      <c r="AB61" s="12">
        <v>527</v>
      </c>
      <c r="AC61" s="12">
        <v>2083</v>
      </c>
      <c r="AD61" s="12">
        <v>1163</v>
      </c>
      <c r="AE61" s="12">
        <v>458</v>
      </c>
      <c r="AF61" s="12">
        <v>58</v>
      </c>
      <c r="AG61" s="8">
        <f>IFERROR(Cleandata_table3[[#This Row],[Population 20 to 64 years below poverty]]/Cleandata_table3[[#This Row],[Population 20 to 64 years for whom poverty status is determined]],"")</f>
        <v>0.14816763107136594</v>
      </c>
      <c r="AH61" s="8">
        <f>IFERROR(Cleandata_table3[[#This Row],[Population 20 to 64 years unemployed]]/Cleandata_table3[[#This Row],[Population 20 to 64 years in civilian labor force]],"")</f>
        <v>4.9125817869784406E-2</v>
      </c>
      <c r="AI61" s="8">
        <f>IFERROR(Cleandata_table3[[#This Row],[Population 20 to 64 years in civilian labor force]]/Cleandata_table3[[#This Row],[Population 20 to 64 years for whom poverty status is determined]],"")</f>
        <v>0.81737681921795546</v>
      </c>
      <c r="AJ61" s="10">
        <f>IFERROR(Cleandata_table3[[#This Row],[Families with income in the past 12 months below poverty level]]/Cleandata_table3[[#This Row],[Families for whom poverty status is determined]],"")</f>
        <v>0.12692793931731985</v>
      </c>
      <c r="AK61" s="8">
        <f>IFERROR(Cleandata_table3[[#This Row],[Population 20 to 64 years employed]]/Cleandata_table3[[#This Row],[Population 20 to 64 years for whom poverty status is determined]],"")</f>
        <v>0.77722251446607049</v>
      </c>
      <c r="AL61" s="8">
        <f>IFERROR(Cleandata_table3[[#This Row],[Population 20 to 64 years not in labor force]]/Cleandata_table3[[#This Row],[Population 20 to 64 years for whom poverty status is determined]],"")</f>
        <v>0.18262318078204454</v>
      </c>
      <c r="AM61" s="10">
        <f>IFERROR(Cleandata_table3[[#This Row],[Married-couple family with related children of the householder under 18 years below poverty]]/Cleandata_table3[[#This Row],[Families for whom poverty status is determined]],"")</f>
        <v>3.0341340075853351E-3</v>
      </c>
      <c r="AN61" s="10">
        <f>IFERROR(Cleandata_table3[[#This Row],[Married-couple family without related children of the householder under 18 years below poverty]]/Cleandata_table3[[#This Row],[Families for whom poverty status is determined]],"")</f>
        <v>4.2983565107458911E-2</v>
      </c>
      <c r="AO61" s="10">
        <f>IFERROR(Cleandata_table3[[#This Row],[Single parents with related children of the householder under 18 years below poverty]]/Cleandata_table3[[#This Row],[Families for whom poverty status is determined]],"")</f>
        <v>5.1327433628318583E-2</v>
      </c>
      <c r="AP61" s="10">
        <f>IFERROR(Cleandata_table3[[#This Row],[Other family below poverty]]/Cleandata_table3[[#This Row],[Families for whom poverty status is determined]],"")</f>
        <v>2.9582806573957017E-2</v>
      </c>
      <c r="AQ61" s="6">
        <f>IFERROR(Cleandata_table3[[#This Row],[Population 16 years and over in civilian labor force unemployed]]/Cleandata_table3[[#This Row],[Population 16 years and over in civilian labor force]],"")</f>
        <v>5.2430044182621503E-2</v>
      </c>
      <c r="AR61" s="6">
        <f>IFERROR((Cleandata_table3[[#This Row],[Population 16 years and over in civilian labor force]]-Cleandata_table3[[#This Row],[Population 16 years and over in civilian labor force unemployed]])/Cleandata_table3[[#This Row],[Population 16 years and over]],"")</f>
        <v>0.64066648964418482</v>
      </c>
      <c r="AS61" s="6">
        <f>IFERROR(Cleandata_table3[[#This Row],[Population 16 years and over in civilian labor force]]/Cleandata_table3[[#This Row],[Population 16 years and over]],"")</f>
        <v>0.6761152416356877</v>
      </c>
      <c r="AT61" s="6">
        <f>IFERROR(Cleandata_table3[[#This Row],[Population 16 years and over not in labor force]]/Cleandata_table3[[#This Row],[Population 16 years and over]],"")</f>
        <v>0.32388475836431224</v>
      </c>
      <c r="AU61" t="str">
        <f>Cleandata_table3[[#This Row],[Neighborhood Name]]&amp; " | " &amp;Cleandata_table3[[#This Row],[Neighborhood Subtype]]</f>
        <v>Northgate/Maple Leaf | North</v>
      </c>
      <c r="AV61" t="s">
        <v>107</v>
      </c>
    </row>
    <row r="62" spans="1:48" x14ac:dyDescent="0.35">
      <c r="A62" t="s">
        <v>180</v>
      </c>
      <c r="B62" t="s">
        <v>181</v>
      </c>
      <c r="C62" t="s">
        <v>180</v>
      </c>
      <c r="D62" s="12">
        <v>340150</v>
      </c>
      <c r="E62" s="12">
        <v>92665</v>
      </c>
      <c r="F62" s="12">
        <v>247082</v>
      </c>
      <c r="G62" s="12">
        <v>9084</v>
      </c>
      <c r="H62" s="12">
        <v>402638</v>
      </c>
      <c r="I62" s="12">
        <v>14775</v>
      </c>
      <c r="J62" s="12">
        <v>11738</v>
      </c>
      <c r="K62" s="12">
        <v>5933</v>
      </c>
      <c r="L62" s="12">
        <v>5735</v>
      </c>
      <c r="M62" s="12">
        <v>9839</v>
      </c>
      <c r="N62" s="12">
        <v>4791</v>
      </c>
      <c r="O62" s="12">
        <v>349827</v>
      </c>
      <c r="P62" s="12">
        <v>97543</v>
      </c>
      <c r="Q62" s="12">
        <v>3136</v>
      </c>
      <c r="R62" s="12">
        <v>528</v>
      </c>
      <c r="S62" s="12">
        <v>793</v>
      </c>
      <c r="T62" s="12">
        <v>1209</v>
      </c>
      <c r="U62" s="12">
        <v>606</v>
      </c>
      <c r="V62" s="12">
        <v>266199</v>
      </c>
      <c r="W62" s="12">
        <v>17835</v>
      </c>
      <c r="X62" s="12">
        <v>220723</v>
      </c>
      <c r="Y62" s="12">
        <v>6877</v>
      </c>
      <c r="Z62" s="12">
        <v>52811</v>
      </c>
      <c r="AA62" s="12">
        <v>228766</v>
      </c>
      <c r="AB62" s="12">
        <v>9049</v>
      </c>
      <c r="AC62" s="12">
        <v>37097</v>
      </c>
      <c r="AD62" s="12">
        <v>8786</v>
      </c>
      <c r="AE62" s="12">
        <v>8043</v>
      </c>
      <c r="AF62" s="12">
        <v>2172</v>
      </c>
      <c r="AG62" s="8">
        <f>IFERROR(Cleandata_table3[[#This Row],[Population 20 to 64 years below poverty]]/Cleandata_table3[[#This Row],[Population 20 to 64 years for whom poverty status is determined]],"")</f>
        <v>6.6998749056157242E-2</v>
      </c>
      <c r="AH62" s="8">
        <f>IFERROR(Cleandata_table3[[#This Row],[Population 20 to 64 years unemployed]]/Cleandata_table3[[#This Row],[Population 20 to 64 years in civilian labor force]],"")</f>
        <v>3.5158196585156884E-2</v>
      </c>
      <c r="AI62" s="8">
        <f>IFERROR(Cleandata_table3[[#This Row],[Population 20 to 64 years in civilian labor force]]/Cleandata_table3[[#This Row],[Population 20 to 64 years for whom poverty status is determined]],"")</f>
        <v>0.85937963703845621</v>
      </c>
      <c r="AJ62" s="10">
        <f>IFERROR(Cleandata_table3[[#This Row],[Families with income in the past 12 months below poverty level]]/Cleandata_table3[[#This Row],[Families for whom poverty status is determined]],"")</f>
        <v>3.2149923623427619E-2</v>
      </c>
      <c r="AK62" s="8">
        <f>IFERROR(Cleandata_table3[[#This Row],[Population 20 to 64 years employed]]/Cleandata_table3[[#This Row],[Population 20 to 64 years for whom poverty status is determined]],"")</f>
        <v>0.82916539881817741</v>
      </c>
      <c r="AL62" s="8">
        <f>IFERROR(Cleandata_table3[[#This Row],[Population 20 to 64 years not in labor force]]/Cleandata_table3[[#This Row],[Population 20 to 64 years for whom poverty status is determined]],"")</f>
        <v>0.13935814935443033</v>
      </c>
      <c r="AM62" s="10">
        <f>IFERROR(Cleandata_table3[[#This Row],[Married-couple family with related children of the householder under 18 years below poverty]]/Cleandata_table3[[#This Row],[Families for whom poverty status is determined]],"")</f>
        <v>5.4129973447607721E-3</v>
      </c>
      <c r="AN62" s="10">
        <f>IFERROR(Cleandata_table3[[#This Row],[Married-couple family without related children of the householder under 18 years below poverty]]/Cleandata_table3[[#This Row],[Families for whom poverty status is determined]],"")</f>
        <v>8.1297479060516899E-3</v>
      </c>
      <c r="AO62" s="10">
        <f>IFERROR(Cleandata_table3[[#This Row],[Single parents with related children of the householder under 18 years below poverty]]/Cleandata_table3[[#This Row],[Families for whom poverty status is determined]],"")</f>
        <v>1.2394533692832905E-2</v>
      </c>
      <c r="AP62" s="10">
        <f>IFERROR(Cleandata_table3[[#This Row],[Other family below poverty]]/Cleandata_table3[[#This Row],[Families for whom poverty status is determined]],"")</f>
        <v>6.2126446797822503E-3</v>
      </c>
      <c r="AQ62" s="6">
        <f>IFERROR(Cleandata_table3[[#This Row],[Population 16 years and over in civilian labor force unemployed]]/Cleandata_table3[[#This Row],[Population 16 years and over in civilian labor force]],"")</f>
        <v>3.6765122509935973E-2</v>
      </c>
      <c r="AR62" s="6">
        <f>IFERROR((Cleandata_table3[[#This Row],[Population 16 years and over in civilian labor force]]-Cleandata_table3[[#This Row],[Population 16 years and over in civilian labor force unemployed]])/Cleandata_table3[[#This Row],[Population 16 years and over]],"")</f>
        <v>0.69968543289725116</v>
      </c>
      <c r="AS62" s="6">
        <f>IFERROR(Cleandata_table3[[#This Row],[Population 16 years and over in civilian labor force]]/Cleandata_table3[[#This Row],[Population 16 years and over]],"")</f>
        <v>0.72639129795678381</v>
      </c>
      <c r="AT62" s="6">
        <f>IFERROR(Cleandata_table3[[#This Row],[Population 16 years and over not in labor force]]/Cleandata_table3[[#This Row],[Population 16 years and over]],"")</f>
        <v>0.27242393061884462</v>
      </c>
      <c r="AU62" t="str">
        <f>Cleandata_table3[[#This Row],[Neighborhood Name]]&amp; " | " &amp;Cleandata_table3[[#This Row],[Neighborhood Subtype]]</f>
        <v>Outside Villages | Outside Villages</v>
      </c>
      <c r="AV62" t="s">
        <v>107</v>
      </c>
    </row>
    <row r="63" spans="1:48" x14ac:dyDescent="0.35">
      <c r="A63" t="s">
        <v>182</v>
      </c>
      <c r="B63" t="s">
        <v>181</v>
      </c>
      <c r="C63" t="s">
        <v>183</v>
      </c>
      <c r="D63" s="12">
        <v>7448</v>
      </c>
      <c r="E63" s="12">
        <v>1501</v>
      </c>
      <c r="F63" s="12">
        <v>5947</v>
      </c>
      <c r="G63" s="12">
        <v>246</v>
      </c>
      <c r="H63" s="12">
        <v>8062</v>
      </c>
      <c r="I63" s="12">
        <v>579</v>
      </c>
      <c r="J63" s="12">
        <v>268</v>
      </c>
      <c r="K63" s="12">
        <v>123</v>
      </c>
      <c r="L63" s="12">
        <v>293</v>
      </c>
      <c r="M63" s="12">
        <v>274</v>
      </c>
      <c r="N63" s="12">
        <v>155</v>
      </c>
      <c r="O63" s="12">
        <v>6370</v>
      </c>
      <c r="P63" s="12">
        <v>1227</v>
      </c>
      <c r="Q63" s="12">
        <v>62</v>
      </c>
      <c r="R63" s="12">
        <v>0</v>
      </c>
      <c r="S63" s="12">
        <v>0</v>
      </c>
      <c r="T63" s="12">
        <v>13</v>
      </c>
      <c r="U63" s="12">
        <v>49</v>
      </c>
      <c r="V63" s="12">
        <v>6616</v>
      </c>
      <c r="W63" s="12">
        <v>647</v>
      </c>
      <c r="X63" s="12">
        <v>5468</v>
      </c>
      <c r="Y63" s="12">
        <v>155</v>
      </c>
      <c r="Z63" s="12">
        <v>1692</v>
      </c>
      <c r="AA63" s="12">
        <v>5709</v>
      </c>
      <c r="AB63" s="12">
        <v>255</v>
      </c>
      <c r="AC63" s="12">
        <v>907</v>
      </c>
      <c r="AD63" s="12">
        <v>392</v>
      </c>
      <c r="AE63" s="12">
        <v>241</v>
      </c>
      <c r="AF63" s="12">
        <v>100</v>
      </c>
      <c r="AG63" s="8">
        <f>IFERROR(Cleandata_table3[[#This Row],[Population 20 to 64 years below poverty]]/Cleandata_table3[[#This Row],[Population 20 to 64 years for whom poverty status is determined]],"")</f>
        <v>9.7793228536880286E-2</v>
      </c>
      <c r="AH63" s="8">
        <f>IFERROR(Cleandata_table3[[#This Row],[Population 20 to 64 years unemployed]]/Cleandata_table3[[#This Row],[Population 20 to 64 years in civilian labor force]],"")</f>
        <v>4.2214047994394814E-2</v>
      </c>
      <c r="AI63" s="8">
        <f>IFERROR(Cleandata_table3[[#This Row],[Population 20 to 64 years in civilian labor force]]/Cleandata_table3[[#This Row],[Population 20 to 64 years for whom poverty status is determined]],"")</f>
        <v>0.86290810157194675</v>
      </c>
      <c r="AJ63" s="10">
        <f>IFERROR(Cleandata_table3[[#This Row],[Families with income in the past 12 months below poverty level]]/Cleandata_table3[[#This Row],[Families for whom poverty status is determined]],"")</f>
        <v>5.0529747351263241E-2</v>
      </c>
      <c r="AK63" s="8">
        <f>IFERROR(Cleandata_table3[[#This Row],[Population 20 to 64 years employed]]/Cleandata_table3[[#This Row],[Population 20 to 64 years for whom poverty status is determined]],"")</f>
        <v>0.82648125755743651</v>
      </c>
      <c r="AL63" s="8">
        <f>IFERROR(Cleandata_table3[[#This Row],[Population 20 to 64 years not in labor force]]/Cleandata_table3[[#This Row],[Population 20 to 64 years for whom poverty status is determined]],"")</f>
        <v>0.13709189842805319</v>
      </c>
      <c r="AM63" s="10">
        <f>IFERROR(Cleandata_table3[[#This Row],[Married-couple family with related children of the householder under 18 years below poverty]]/Cleandata_table3[[#This Row],[Families for whom poverty status is determined]],"")</f>
        <v>0</v>
      </c>
      <c r="AN63" s="10">
        <f>IFERROR(Cleandata_table3[[#This Row],[Married-couple family without related children of the householder under 18 years below poverty]]/Cleandata_table3[[#This Row],[Families for whom poverty status is determined]],"")</f>
        <v>0</v>
      </c>
      <c r="AO63" s="10">
        <f>IFERROR(Cleandata_table3[[#This Row],[Single parents with related children of the householder under 18 years below poverty]]/Cleandata_table3[[#This Row],[Families for whom poverty status is determined]],"")</f>
        <v>1.0594947025264874E-2</v>
      </c>
      <c r="AP63" s="10">
        <f>IFERROR(Cleandata_table3[[#This Row],[Other family below poverty]]/Cleandata_table3[[#This Row],[Families for whom poverty status is determined]],"")</f>
        <v>3.9934800325998367E-2</v>
      </c>
      <c r="AQ63" s="6">
        <f>IFERROR(Cleandata_table3[[#This Row],[Population 16 years and over in civilian labor force unemployed]]/Cleandata_table3[[#This Row],[Population 16 years and over in civilian labor force]],"")</f>
        <v>4.1365394316462079E-2</v>
      </c>
      <c r="AR63" s="6">
        <f>IFERROR((Cleandata_table3[[#This Row],[Population 16 years and over in civilian labor force]]-Cleandata_table3[[#This Row],[Population 16 years and over in civilian labor force unemployed]])/Cleandata_table3[[#This Row],[Population 16 years and over]],"")</f>
        <v>0.76544038668098824</v>
      </c>
      <c r="AS63" s="6">
        <f>IFERROR(Cleandata_table3[[#This Row],[Population 16 years and over in civilian labor force]]/Cleandata_table3[[#This Row],[Population 16 years and over]],"")</f>
        <v>0.79846938775510201</v>
      </c>
      <c r="AT63" s="6">
        <f>IFERROR(Cleandata_table3[[#This Row],[Population 16 years and over not in labor force]]/Cleandata_table3[[#This Row],[Population 16 years and over]],"")</f>
        <v>0.20153061224489796</v>
      </c>
      <c r="AU63" t="str">
        <f>Cleandata_table3[[#This Row],[Neighborhood Name]]&amp; " | " &amp;Cleandata_table3[[#This Row],[Neighborhood Subtype]]</f>
        <v>Aurora-Licton Springs | Residential Urban Village</v>
      </c>
      <c r="AV63" t="s">
        <v>107</v>
      </c>
    </row>
    <row r="64" spans="1:48" x14ac:dyDescent="0.35">
      <c r="A64" t="s">
        <v>184</v>
      </c>
      <c r="B64" t="s">
        <v>181</v>
      </c>
      <c r="C64" t="s">
        <v>183</v>
      </c>
      <c r="D64" s="12">
        <v>2707</v>
      </c>
      <c r="E64" s="12">
        <v>424</v>
      </c>
      <c r="F64" s="12">
        <v>2253</v>
      </c>
      <c r="G64" s="12">
        <v>75</v>
      </c>
      <c r="H64" s="12">
        <v>2880</v>
      </c>
      <c r="I64" s="12">
        <v>77</v>
      </c>
      <c r="J64" s="12">
        <v>31</v>
      </c>
      <c r="K64" s="12">
        <v>98</v>
      </c>
      <c r="L64" s="12">
        <v>16</v>
      </c>
      <c r="M64" s="12">
        <v>144</v>
      </c>
      <c r="N64" s="12">
        <v>0</v>
      </c>
      <c r="O64" s="12">
        <v>2514</v>
      </c>
      <c r="P64" s="12">
        <v>626</v>
      </c>
      <c r="Q64" s="12">
        <v>0</v>
      </c>
      <c r="R64" s="12">
        <v>0</v>
      </c>
      <c r="S64" s="12">
        <v>0</v>
      </c>
      <c r="T64" s="12">
        <v>0</v>
      </c>
      <c r="U64" s="12">
        <v>0</v>
      </c>
      <c r="V64" s="12">
        <v>2469</v>
      </c>
      <c r="W64" s="12">
        <v>88</v>
      </c>
      <c r="X64" s="12">
        <v>2105</v>
      </c>
      <c r="Y64" s="12">
        <v>44</v>
      </c>
      <c r="Z64" s="12">
        <v>366</v>
      </c>
      <c r="AA64" s="12">
        <v>2180</v>
      </c>
      <c r="AB64" s="12">
        <v>44</v>
      </c>
      <c r="AC64" s="12">
        <v>259</v>
      </c>
      <c r="AD64" s="12">
        <v>44</v>
      </c>
      <c r="AE64" s="12">
        <v>75</v>
      </c>
      <c r="AF64" s="12">
        <v>0</v>
      </c>
      <c r="AG64" s="8">
        <f>IFERROR(Cleandata_table3[[#This Row],[Population 20 to 64 years below poverty]]/Cleandata_table3[[#This Row],[Population 20 to 64 years for whom poverty status is determined]],"")</f>
        <v>3.5641960307816932E-2</v>
      </c>
      <c r="AH64" s="8">
        <f>IFERROR(Cleandata_table3[[#This Row],[Population 20 to 64 years unemployed]]/Cleandata_table3[[#This Row],[Population 20 to 64 years in civilian labor force]],"")</f>
        <v>3.4403669724770644E-2</v>
      </c>
      <c r="AI64" s="8">
        <f>IFERROR(Cleandata_table3[[#This Row],[Population 20 to 64 years in civilian labor force]]/Cleandata_table3[[#This Row],[Population 20 to 64 years for whom poverty status is determined]],"")</f>
        <v>0.88294856217091944</v>
      </c>
      <c r="AJ64" s="10">
        <f>IFERROR(Cleandata_table3[[#This Row],[Families with income in the past 12 months below poverty level]]/Cleandata_table3[[#This Row],[Families for whom poverty status is determined]],"")</f>
        <v>0</v>
      </c>
      <c r="AK64" s="8">
        <f>IFERROR(Cleandata_table3[[#This Row],[Population 20 to 64 years employed]]/Cleandata_table3[[#This Row],[Population 20 to 64 years for whom poverty status is determined]],"")</f>
        <v>0.85257189145403001</v>
      </c>
      <c r="AL64" s="8">
        <f>IFERROR(Cleandata_table3[[#This Row],[Population 20 to 64 years not in labor force]]/Cleandata_table3[[#This Row],[Population 20 to 64 years for whom poverty status is determined]],"")</f>
        <v>0.10490076954232483</v>
      </c>
      <c r="AM64" s="10">
        <f>IFERROR(Cleandata_table3[[#This Row],[Married-couple family with related children of the householder under 18 years below poverty]]/Cleandata_table3[[#This Row],[Families for whom poverty status is determined]],"")</f>
        <v>0</v>
      </c>
      <c r="AN64" s="10">
        <f>IFERROR(Cleandata_table3[[#This Row],[Married-couple family without related children of the householder under 18 years below poverty]]/Cleandata_table3[[#This Row],[Families for whom poverty status is determined]],"")</f>
        <v>0</v>
      </c>
      <c r="AO64" s="10">
        <f>IFERROR(Cleandata_table3[[#This Row],[Single parents with related children of the householder under 18 years below poverty]]/Cleandata_table3[[#This Row],[Families for whom poverty status is determined]],"")</f>
        <v>0</v>
      </c>
      <c r="AP64" s="10">
        <f>IFERROR(Cleandata_table3[[#This Row],[Other family below poverty]]/Cleandata_table3[[#This Row],[Families for whom poverty status is determined]],"")</f>
        <v>0</v>
      </c>
      <c r="AQ64" s="6">
        <f>IFERROR(Cleandata_table3[[#This Row],[Population 16 years and over in civilian labor force unemployed]]/Cleandata_table3[[#This Row],[Population 16 years and over in civilian labor force]],"")</f>
        <v>3.3288948069241014E-2</v>
      </c>
      <c r="AR64" s="6">
        <f>IFERROR((Cleandata_table3[[#This Row],[Population 16 years and over in civilian labor force]]-Cleandata_table3[[#This Row],[Population 16 years and over in civilian labor force unemployed]])/Cleandata_table3[[#This Row],[Population 16 years and over]],"")</f>
        <v>0.80458071666050979</v>
      </c>
      <c r="AS64" s="6">
        <f>IFERROR(Cleandata_table3[[#This Row],[Population 16 years and over in civilian labor force]]/Cleandata_table3[[#This Row],[Population 16 years and over]],"")</f>
        <v>0.83228666420391573</v>
      </c>
      <c r="AT64" s="6">
        <f>IFERROR(Cleandata_table3[[#This Row],[Population 16 years and over not in labor force]]/Cleandata_table3[[#This Row],[Population 16 years and over]],"")</f>
        <v>0.15663095677872182</v>
      </c>
      <c r="AU64" t="str">
        <f>Cleandata_table3[[#This Row],[Neighborhood Name]]&amp; " | " &amp;Cleandata_table3[[#This Row],[Neighborhood Subtype]]</f>
        <v>Greenwood-Phinney Ridge | Residential Urban Village</v>
      </c>
      <c r="AV64" t="s">
        <v>107</v>
      </c>
    </row>
    <row r="65" spans="1:48" x14ac:dyDescent="0.35">
      <c r="A65" t="s">
        <v>185</v>
      </c>
      <c r="B65" t="s">
        <v>181</v>
      </c>
      <c r="C65" t="s">
        <v>183</v>
      </c>
      <c r="D65" s="12">
        <v>3577</v>
      </c>
      <c r="E65" s="12">
        <v>763</v>
      </c>
      <c r="F65" s="12">
        <v>2814</v>
      </c>
      <c r="G65" s="12">
        <v>71</v>
      </c>
      <c r="H65" s="12">
        <v>4395</v>
      </c>
      <c r="I65" s="12">
        <v>66</v>
      </c>
      <c r="J65" s="12">
        <v>138</v>
      </c>
      <c r="K65" s="12">
        <v>26</v>
      </c>
      <c r="L65" s="12">
        <v>12</v>
      </c>
      <c r="M65" s="12">
        <v>48</v>
      </c>
      <c r="N65" s="12">
        <v>0</v>
      </c>
      <c r="O65" s="12">
        <v>4105</v>
      </c>
      <c r="P65" s="12">
        <v>1051</v>
      </c>
      <c r="Q65" s="12">
        <v>41</v>
      </c>
      <c r="R65" s="12">
        <v>13</v>
      </c>
      <c r="S65" s="12">
        <v>0</v>
      </c>
      <c r="T65" s="12">
        <v>28</v>
      </c>
      <c r="U65" s="12">
        <v>0</v>
      </c>
      <c r="V65" s="12">
        <v>2993</v>
      </c>
      <c r="W65" s="12">
        <v>130</v>
      </c>
      <c r="X65" s="12">
        <v>2501</v>
      </c>
      <c r="Y65" s="12">
        <v>8</v>
      </c>
      <c r="Z65" s="12">
        <v>290</v>
      </c>
      <c r="AA65" s="12">
        <v>2543</v>
      </c>
      <c r="AB65" s="12">
        <v>24</v>
      </c>
      <c r="AC65" s="12">
        <v>450</v>
      </c>
      <c r="AD65" s="12">
        <v>106</v>
      </c>
      <c r="AE65" s="12">
        <v>42</v>
      </c>
      <c r="AF65" s="12">
        <v>16</v>
      </c>
      <c r="AG65" s="8">
        <f>IFERROR(Cleandata_table3[[#This Row],[Population 20 to 64 years below poverty]]/Cleandata_table3[[#This Row],[Population 20 to 64 years for whom poverty status is determined]],"")</f>
        <v>4.3434680922151685E-2</v>
      </c>
      <c r="AH65" s="8">
        <f>IFERROR(Cleandata_table3[[#This Row],[Population 20 to 64 years unemployed]]/Cleandata_table3[[#This Row],[Population 20 to 64 years in civilian labor force]],"")</f>
        <v>1.6515926071569011E-2</v>
      </c>
      <c r="AI65" s="8">
        <f>IFERROR(Cleandata_table3[[#This Row],[Population 20 to 64 years in civilian labor force]]/Cleandata_table3[[#This Row],[Population 20 to 64 years for whom poverty status is determined]],"")</f>
        <v>0.84964918142332113</v>
      </c>
      <c r="AJ65" s="10">
        <f>IFERROR(Cleandata_table3[[#This Row],[Families with income in the past 12 months below poverty level]]/Cleandata_table3[[#This Row],[Families for whom poverty status is determined]],"")</f>
        <v>3.9010466222645097E-2</v>
      </c>
      <c r="AK65" s="8">
        <f>IFERROR(Cleandata_table3[[#This Row],[Population 20 to 64 years employed]]/Cleandata_table3[[#This Row],[Population 20 to 64 years for whom poverty status is determined]],"")</f>
        <v>0.83561643835616439</v>
      </c>
      <c r="AL65" s="8">
        <f>IFERROR(Cleandata_table3[[#This Row],[Population 20 to 64 years not in labor force]]/Cleandata_table3[[#This Row],[Population 20 to 64 years for whom poverty status is determined]],"")</f>
        <v>0.15035081857667892</v>
      </c>
      <c r="AM65" s="10">
        <f>IFERROR(Cleandata_table3[[#This Row],[Married-couple family with related children of the householder under 18 years below poverty]]/Cleandata_table3[[#This Row],[Families for whom poverty status is determined]],"")</f>
        <v>1.2369172216936251E-2</v>
      </c>
      <c r="AN65" s="10">
        <f>IFERROR(Cleandata_table3[[#This Row],[Married-couple family without related children of the householder under 18 years below poverty]]/Cleandata_table3[[#This Row],[Families for whom poverty status is determined]],"")</f>
        <v>0</v>
      </c>
      <c r="AO65" s="10">
        <f>IFERROR(Cleandata_table3[[#This Row],[Single parents with related children of the householder under 18 years below poverty]]/Cleandata_table3[[#This Row],[Families for whom poverty status is determined]],"")</f>
        <v>2.6641294005708849E-2</v>
      </c>
      <c r="AP65" s="10">
        <f>IFERROR(Cleandata_table3[[#This Row],[Other family below poverty]]/Cleandata_table3[[#This Row],[Families for whom poverty status is determined]],"")</f>
        <v>0</v>
      </c>
      <c r="AQ65" s="6">
        <f>IFERROR(Cleandata_table3[[#This Row],[Population 16 years and over in civilian labor force unemployed]]/Cleandata_table3[[#This Row],[Population 16 years and over in civilian labor force]],"")</f>
        <v>2.523098791755508E-2</v>
      </c>
      <c r="AR65" s="6">
        <f>IFERROR((Cleandata_table3[[#This Row],[Population 16 years and over in civilian labor force]]-Cleandata_table3[[#This Row],[Population 16 years and over in civilian labor force unemployed]])/Cleandata_table3[[#This Row],[Population 16 years and over]],"")</f>
        <v>0.76684372379088617</v>
      </c>
      <c r="AS65" s="6">
        <f>IFERROR(Cleandata_table3[[#This Row],[Population 16 years and over in civilian labor force]]/Cleandata_table3[[#This Row],[Population 16 years and over]],"")</f>
        <v>0.78669275929549898</v>
      </c>
      <c r="AT65" s="6">
        <f>IFERROR(Cleandata_table3[[#This Row],[Population 16 years and over not in labor force]]/Cleandata_table3[[#This Row],[Population 16 years and over]],"")</f>
        <v>0.21330724070450097</v>
      </c>
      <c r="AU65" t="str">
        <f>Cleandata_table3[[#This Row],[Neighborhood Name]]&amp; " | " &amp;Cleandata_table3[[#This Row],[Neighborhood Subtype]]</f>
        <v>Crown Hill | Residential Urban Village</v>
      </c>
      <c r="AV65" t="s">
        <v>107</v>
      </c>
    </row>
    <row r="66" spans="1:48" x14ac:dyDescent="0.35">
      <c r="A66" t="s">
        <v>186</v>
      </c>
      <c r="B66" t="s">
        <v>181</v>
      </c>
      <c r="C66" t="s">
        <v>183</v>
      </c>
      <c r="D66" s="12">
        <v>4684</v>
      </c>
      <c r="E66" s="12">
        <v>1137</v>
      </c>
      <c r="F66" s="12">
        <v>3522</v>
      </c>
      <c r="G66" s="12">
        <v>36</v>
      </c>
      <c r="H66" s="12">
        <v>4974</v>
      </c>
      <c r="I66" s="12">
        <v>174</v>
      </c>
      <c r="J66" s="12">
        <v>220</v>
      </c>
      <c r="K66" s="12">
        <v>78</v>
      </c>
      <c r="L66" s="12">
        <v>32</v>
      </c>
      <c r="M66" s="12">
        <v>163</v>
      </c>
      <c r="N66" s="12">
        <v>20</v>
      </c>
      <c r="O66" s="12">
        <v>4287</v>
      </c>
      <c r="P66" s="12">
        <v>949</v>
      </c>
      <c r="Q66" s="12">
        <v>28</v>
      </c>
      <c r="R66" s="12">
        <v>0</v>
      </c>
      <c r="S66" s="12">
        <v>28</v>
      </c>
      <c r="T66" s="12">
        <v>0</v>
      </c>
      <c r="U66" s="12">
        <v>0</v>
      </c>
      <c r="V66" s="12">
        <v>3860</v>
      </c>
      <c r="W66" s="12">
        <v>351</v>
      </c>
      <c r="X66" s="12">
        <v>3238</v>
      </c>
      <c r="Y66" s="12">
        <v>46</v>
      </c>
      <c r="Z66" s="12">
        <v>687</v>
      </c>
      <c r="AA66" s="12">
        <v>3274</v>
      </c>
      <c r="AB66" s="12">
        <v>47</v>
      </c>
      <c r="AC66" s="12">
        <v>561</v>
      </c>
      <c r="AD66" s="12">
        <v>304</v>
      </c>
      <c r="AE66" s="12">
        <v>36</v>
      </c>
      <c r="AF66" s="12">
        <v>1</v>
      </c>
      <c r="AG66" s="8">
        <f>IFERROR(Cleandata_table3[[#This Row],[Population 20 to 64 years below poverty]]/Cleandata_table3[[#This Row],[Population 20 to 64 years for whom poverty status is determined]],"")</f>
        <v>9.0932642487046633E-2</v>
      </c>
      <c r="AH66" s="8">
        <f>IFERROR(Cleandata_table3[[#This Row],[Population 20 to 64 years unemployed]]/Cleandata_table3[[#This Row],[Population 20 to 64 years in civilian labor force]],"")</f>
        <v>1.0995723885155772E-2</v>
      </c>
      <c r="AI66" s="8">
        <f>IFERROR(Cleandata_table3[[#This Row],[Population 20 to 64 years in civilian labor force]]/Cleandata_table3[[#This Row],[Population 20 to 64 years for whom poverty status is determined]],"")</f>
        <v>0.84818652849740928</v>
      </c>
      <c r="AJ66" s="10">
        <f>IFERROR(Cleandata_table3[[#This Row],[Families with income in the past 12 months below poverty level]]/Cleandata_table3[[#This Row],[Families for whom poverty status is determined]],"")</f>
        <v>2.9504741833508957E-2</v>
      </c>
      <c r="AK66" s="8">
        <f>IFERROR(Cleandata_table3[[#This Row],[Population 20 to 64 years employed]]/Cleandata_table3[[#This Row],[Population 20 to 64 years for whom poverty status is determined]],"")</f>
        <v>0.83886010362694297</v>
      </c>
      <c r="AL66" s="8">
        <f>IFERROR(Cleandata_table3[[#This Row],[Population 20 to 64 years not in labor force]]/Cleandata_table3[[#This Row],[Population 20 to 64 years for whom poverty status is determined]],"")</f>
        <v>0.14533678756476684</v>
      </c>
      <c r="AM66" s="10">
        <f>IFERROR(Cleandata_table3[[#This Row],[Married-couple family with related children of the householder under 18 years below poverty]]/Cleandata_table3[[#This Row],[Families for whom poverty status is determined]],"")</f>
        <v>0</v>
      </c>
      <c r="AN66" s="10">
        <f>IFERROR(Cleandata_table3[[#This Row],[Married-couple family without related children of the householder under 18 years below poverty]]/Cleandata_table3[[#This Row],[Families for whom poverty status is determined]],"")</f>
        <v>2.9504741833508957E-2</v>
      </c>
      <c r="AO66" s="10">
        <f>IFERROR(Cleandata_table3[[#This Row],[Single parents with related children of the householder under 18 years below poverty]]/Cleandata_table3[[#This Row],[Families for whom poverty status is determined]],"")</f>
        <v>0</v>
      </c>
      <c r="AP66" s="10">
        <f>IFERROR(Cleandata_table3[[#This Row],[Other family below poverty]]/Cleandata_table3[[#This Row],[Families for whom poverty status is determined]],"")</f>
        <v>0</v>
      </c>
      <c r="AQ66" s="6">
        <f>IFERROR(Cleandata_table3[[#This Row],[Population 16 years and over in civilian labor force unemployed]]/Cleandata_table3[[#This Row],[Population 16 years and over in civilian labor force]],"")</f>
        <v>1.0221465076660987E-2</v>
      </c>
      <c r="AR66" s="6">
        <f>IFERROR((Cleandata_table3[[#This Row],[Population 16 years and over in civilian labor force]]-Cleandata_table3[[#This Row],[Population 16 years and over in civilian labor force unemployed]])/Cleandata_table3[[#This Row],[Population 16 years and over]],"")</f>
        <v>0.74423569598633643</v>
      </c>
      <c r="AS66" s="6">
        <f>IFERROR(Cleandata_table3[[#This Row],[Population 16 years and over in civilian labor force]]/Cleandata_table3[[#This Row],[Population 16 years and over]],"")</f>
        <v>0.75192143467122119</v>
      </c>
      <c r="AT66" s="6">
        <f>IFERROR(Cleandata_table3[[#This Row],[Population 16 years and over not in labor force]]/Cleandata_table3[[#This Row],[Population 16 years and over]],"")</f>
        <v>0.24274124679760889</v>
      </c>
      <c r="AU66" t="str">
        <f>Cleandata_table3[[#This Row],[Neighborhood Name]]&amp; " | " &amp;Cleandata_table3[[#This Row],[Neighborhood Subtype]]</f>
        <v>Upper Queen Anne | Residential Urban Village</v>
      </c>
      <c r="AV66" t="s">
        <v>107</v>
      </c>
    </row>
    <row r="67" spans="1:48" x14ac:dyDescent="0.35">
      <c r="A67" t="s">
        <v>187</v>
      </c>
      <c r="B67" t="s">
        <v>181</v>
      </c>
      <c r="C67" t="s">
        <v>183</v>
      </c>
      <c r="D67" s="12">
        <v>5663</v>
      </c>
      <c r="E67" s="12">
        <v>892</v>
      </c>
      <c r="F67" s="12">
        <v>4771</v>
      </c>
      <c r="G67" s="12">
        <v>280</v>
      </c>
      <c r="H67" s="12">
        <v>5852</v>
      </c>
      <c r="I67" s="12">
        <v>257</v>
      </c>
      <c r="J67" s="12">
        <v>404</v>
      </c>
      <c r="K67" s="12">
        <v>35</v>
      </c>
      <c r="L67" s="12">
        <v>106</v>
      </c>
      <c r="M67" s="12">
        <v>112</v>
      </c>
      <c r="N67" s="12">
        <v>18</v>
      </c>
      <c r="O67" s="12">
        <v>4920</v>
      </c>
      <c r="P67" s="12">
        <v>954</v>
      </c>
      <c r="Q67" s="12">
        <v>34</v>
      </c>
      <c r="R67" s="12">
        <v>17</v>
      </c>
      <c r="S67" s="12">
        <v>0</v>
      </c>
      <c r="T67" s="12">
        <v>17</v>
      </c>
      <c r="U67" s="12">
        <v>0</v>
      </c>
      <c r="V67" s="12">
        <v>5081</v>
      </c>
      <c r="W67" s="12">
        <v>571</v>
      </c>
      <c r="X67" s="12">
        <v>4317</v>
      </c>
      <c r="Y67" s="12">
        <v>285</v>
      </c>
      <c r="Z67" s="12">
        <v>932</v>
      </c>
      <c r="AA67" s="12">
        <v>4597</v>
      </c>
      <c r="AB67" s="12">
        <v>402</v>
      </c>
      <c r="AC67" s="12">
        <v>484</v>
      </c>
      <c r="AD67" s="12">
        <v>169</v>
      </c>
      <c r="AE67" s="12">
        <v>280</v>
      </c>
      <c r="AF67" s="12">
        <v>117</v>
      </c>
      <c r="AG67" s="8">
        <f>IFERROR(Cleandata_table3[[#This Row],[Population 20 to 64 years below poverty]]/Cleandata_table3[[#This Row],[Population 20 to 64 years for whom poverty status is determined]],"")</f>
        <v>0.11237945286360952</v>
      </c>
      <c r="AH67" s="8">
        <f>IFERROR(Cleandata_table3[[#This Row],[Population 20 to 64 years unemployed]]/Cleandata_table3[[#This Row],[Population 20 to 64 years in civilian labor force]],"")</f>
        <v>6.0909288666521642E-2</v>
      </c>
      <c r="AI67" s="8">
        <f>IFERROR(Cleandata_table3[[#This Row],[Population 20 to 64 years in civilian labor force]]/Cleandata_table3[[#This Row],[Population 20 to 64 years for whom poverty status is determined]],"")</f>
        <v>0.90474316079511907</v>
      </c>
      <c r="AJ67" s="10">
        <f>IFERROR(Cleandata_table3[[#This Row],[Families with income in the past 12 months below poverty level]]/Cleandata_table3[[#This Row],[Families for whom poverty status is determined]],"")</f>
        <v>3.5639412997903561E-2</v>
      </c>
      <c r="AK67" s="8">
        <f>IFERROR(Cleandata_table3[[#This Row],[Population 20 to 64 years employed]]/Cleandata_table3[[#This Row],[Population 20 to 64 years for whom poverty status is determined]],"")</f>
        <v>0.84963589844518794</v>
      </c>
      <c r="AL67" s="8">
        <f>IFERROR(Cleandata_table3[[#This Row],[Population 20 to 64 years not in labor force]]/Cleandata_table3[[#This Row],[Population 20 to 64 years for whom poverty status is determined]],"")</f>
        <v>9.5256839204880928E-2</v>
      </c>
      <c r="AM67" s="10">
        <f>IFERROR(Cleandata_table3[[#This Row],[Married-couple family with related children of the householder under 18 years below poverty]]/Cleandata_table3[[#This Row],[Families for whom poverty status is determined]],"")</f>
        <v>1.781970649895178E-2</v>
      </c>
      <c r="AN67" s="10">
        <f>IFERROR(Cleandata_table3[[#This Row],[Married-couple family without related children of the householder under 18 years below poverty]]/Cleandata_table3[[#This Row],[Families for whom poverty status is determined]],"")</f>
        <v>0</v>
      </c>
      <c r="AO67" s="10">
        <f>IFERROR(Cleandata_table3[[#This Row],[Single parents with related children of the householder under 18 years below poverty]]/Cleandata_table3[[#This Row],[Families for whom poverty status is determined]],"")</f>
        <v>1.781970649895178E-2</v>
      </c>
      <c r="AP67" s="10">
        <f>IFERROR(Cleandata_table3[[#This Row],[Other family below poverty]]/Cleandata_table3[[#This Row],[Families for whom poverty status is determined]],"")</f>
        <v>0</v>
      </c>
      <c r="AQ67" s="6">
        <f>IFERROR(Cleandata_table3[[#This Row],[Population 16 years and over in civilian labor force unemployed]]/Cleandata_table3[[#This Row],[Population 16 years and over in civilian labor force]],"")</f>
        <v>5.8687906099350241E-2</v>
      </c>
      <c r="AR67" s="6">
        <f>IFERROR((Cleandata_table3[[#This Row],[Population 16 years and over in civilian labor force]]-Cleandata_table3[[#This Row],[Population 16 years and over in civilian labor force unemployed]])/Cleandata_table3[[#This Row],[Population 16 years and over]],"")</f>
        <v>0.79304255694861381</v>
      </c>
      <c r="AS67" s="6">
        <f>IFERROR(Cleandata_table3[[#This Row],[Population 16 years and over in civilian labor force]]/Cleandata_table3[[#This Row],[Population 16 years and over]],"")</f>
        <v>0.84248631467420099</v>
      </c>
      <c r="AT67" s="6">
        <f>IFERROR(Cleandata_table3[[#This Row],[Population 16 years and over not in labor force]]/Cleandata_table3[[#This Row],[Population 16 years and over]],"")</f>
        <v>0.15751368532579904</v>
      </c>
      <c r="AU67" t="str">
        <f>Cleandata_table3[[#This Row],[Neighborhood Name]]&amp; " | " &amp;Cleandata_table3[[#This Row],[Neighborhood Subtype]]</f>
        <v>Eastlake | Residential Urban Village</v>
      </c>
      <c r="AV67" t="s">
        <v>107</v>
      </c>
    </row>
    <row r="68" spans="1:48" x14ac:dyDescent="0.35">
      <c r="A68" t="s">
        <v>188</v>
      </c>
      <c r="B68" t="s">
        <v>181</v>
      </c>
      <c r="C68" t="s">
        <v>183</v>
      </c>
      <c r="D68" s="12">
        <v>15043</v>
      </c>
      <c r="E68" s="12">
        <v>4341</v>
      </c>
      <c r="F68" s="12">
        <v>10652</v>
      </c>
      <c r="G68" s="12">
        <v>593</v>
      </c>
      <c r="H68" s="12">
        <v>16424</v>
      </c>
      <c r="I68" s="12">
        <v>1652</v>
      </c>
      <c r="J68" s="12">
        <v>1088</v>
      </c>
      <c r="K68" s="12">
        <v>811</v>
      </c>
      <c r="L68" s="12">
        <v>357</v>
      </c>
      <c r="M68" s="12">
        <v>628</v>
      </c>
      <c r="N68" s="12">
        <v>310</v>
      </c>
      <c r="O68" s="12">
        <v>11578</v>
      </c>
      <c r="P68" s="12">
        <v>3319</v>
      </c>
      <c r="Q68" s="12">
        <v>401</v>
      </c>
      <c r="R68" s="12">
        <v>0</v>
      </c>
      <c r="S68" s="12">
        <v>144</v>
      </c>
      <c r="T68" s="12">
        <v>244</v>
      </c>
      <c r="U68" s="12">
        <v>13</v>
      </c>
      <c r="V68" s="12">
        <v>11915</v>
      </c>
      <c r="W68" s="12">
        <v>1440</v>
      </c>
      <c r="X68" s="12">
        <v>9536</v>
      </c>
      <c r="Y68" s="12">
        <v>546</v>
      </c>
      <c r="Z68" s="12">
        <v>4846</v>
      </c>
      <c r="AA68" s="12">
        <v>10108</v>
      </c>
      <c r="AB68" s="12">
        <v>769</v>
      </c>
      <c r="AC68" s="12">
        <v>1757</v>
      </c>
      <c r="AD68" s="12">
        <v>671</v>
      </c>
      <c r="AE68" s="12">
        <v>572</v>
      </c>
      <c r="AF68" s="12">
        <v>223</v>
      </c>
      <c r="AG68" s="8">
        <f>IFERROR(Cleandata_table3[[#This Row],[Population 20 to 64 years below poverty]]/Cleandata_table3[[#This Row],[Population 20 to 64 years for whom poverty status is determined]],"")</f>
        <v>0.12085606378514478</v>
      </c>
      <c r="AH68" s="8">
        <f>IFERROR(Cleandata_table3[[#This Row],[Population 20 to 64 years unemployed]]/Cleandata_table3[[#This Row],[Population 20 to 64 years in civilian labor force]],"")</f>
        <v>5.6588840522358526E-2</v>
      </c>
      <c r="AI68" s="8">
        <f>IFERROR(Cleandata_table3[[#This Row],[Population 20 to 64 years in civilian labor force]]/Cleandata_table3[[#This Row],[Population 20 to 64 years for whom poverty status is determined]],"")</f>
        <v>0.84834242551405792</v>
      </c>
      <c r="AJ68" s="10">
        <f>IFERROR(Cleandata_table3[[#This Row],[Families with income in the past 12 months below poverty level]]/Cleandata_table3[[#This Row],[Families for whom poverty status is determined]],"")</f>
        <v>0.12081952395299789</v>
      </c>
      <c r="AK68" s="8">
        <f>IFERROR(Cleandata_table3[[#This Row],[Population 20 to 64 years employed]]/Cleandata_table3[[#This Row],[Population 20 to 64 years for whom poverty status is determined]],"")</f>
        <v>0.80033571128829206</v>
      </c>
      <c r="AL68" s="8">
        <f>IFERROR(Cleandata_table3[[#This Row],[Population 20 to 64 years not in labor force]]/Cleandata_table3[[#This Row],[Population 20 to 64 years for whom poverty status is determined]],"")</f>
        <v>0.14746118338229122</v>
      </c>
      <c r="AM68" s="10">
        <f>IFERROR(Cleandata_table3[[#This Row],[Married-couple family with related children of the householder under 18 years below poverty]]/Cleandata_table3[[#This Row],[Families for whom poverty status is determined]],"")</f>
        <v>0</v>
      </c>
      <c r="AN68" s="10">
        <f>IFERROR(Cleandata_table3[[#This Row],[Married-couple family without related children of the householder under 18 years below poverty]]/Cleandata_table3[[#This Row],[Families for whom poverty status is determined]],"")</f>
        <v>4.3386562217535403E-2</v>
      </c>
      <c r="AO68" s="10">
        <f>IFERROR(Cleandata_table3[[#This Row],[Single parents with related children of the householder under 18 years below poverty]]/Cleandata_table3[[#This Row],[Families for whom poverty status is determined]],"")</f>
        <v>7.3516119313046094E-2</v>
      </c>
      <c r="AP68" s="10">
        <f>IFERROR(Cleandata_table3[[#This Row],[Other family below poverty]]/Cleandata_table3[[#This Row],[Families for whom poverty status is determined]],"")</f>
        <v>3.9168424224163903E-3</v>
      </c>
      <c r="AQ68" s="6">
        <f>IFERROR(Cleandata_table3[[#This Row],[Population 16 years and over in civilian labor force unemployed]]/Cleandata_table3[[#This Row],[Population 16 years and over in civilian labor force]],"")</f>
        <v>5.5670296657904621E-2</v>
      </c>
      <c r="AR68" s="6">
        <f>IFERROR((Cleandata_table3[[#This Row],[Population 16 years and over in civilian labor force]]-Cleandata_table3[[#This Row],[Population 16 years and over in civilian labor force unemployed]])/Cleandata_table3[[#This Row],[Population 16 years and over]],"")</f>
        <v>0.6686831084225221</v>
      </c>
      <c r="AS68" s="6">
        <f>IFERROR(Cleandata_table3[[#This Row],[Population 16 years and over in civilian labor force]]/Cleandata_table3[[#This Row],[Population 16 years and over]],"")</f>
        <v>0.70810343681446519</v>
      </c>
      <c r="AT68" s="6">
        <f>IFERROR(Cleandata_table3[[#This Row],[Population 16 years and over not in labor force]]/Cleandata_table3[[#This Row],[Population 16 years and over]],"")</f>
        <v>0.28857275809346539</v>
      </c>
      <c r="AU68" t="str">
        <f>Cleandata_table3[[#This Row],[Neighborhood Name]]&amp; " | " &amp;Cleandata_table3[[#This Row],[Neighborhood Subtype]]</f>
        <v>23rd &amp; Union-Jackson | Residential Urban Village</v>
      </c>
      <c r="AV68" t="s">
        <v>107</v>
      </c>
    </row>
    <row r="69" spans="1:48" x14ac:dyDescent="0.35">
      <c r="A69" t="s">
        <v>189</v>
      </c>
      <c r="B69" t="s">
        <v>181</v>
      </c>
      <c r="C69" t="s">
        <v>183</v>
      </c>
      <c r="D69" s="12">
        <v>6320</v>
      </c>
      <c r="E69" s="12">
        <v>1462</v>
      </c>
      <c r="F69" s="12">
        <v>4858</v>
      </c>
      <c r="G69" s="12">
        <v>145</v>
      </c>
      <c r="H69" s="12">
        <v>6966</v>
      </c>
      <c r="I69" s="12">
        <v>284</v>
      </c>
      <c r="J69" s="12">
        <v>501</v>
      </c>
      <c r="K69" s="12">
        <v>176</v>
      </c>
      <c r="L69" s="12">
        <v>141</v>
      </c>
      <c r="M69" s="12">
        <v>222</v>
      </c>
      <c r="N69" s="12">
        <v>127</v>
      </c>
      <c r="O69" s="12">
        <v>5515</v>
      </c>
      <c r="P69" s="12">
        <v>1622</v>
      </c>
      <c r="Q69" s="12">
        <v>184</v>
      </c>
      <c r="R69" s="12">
        <v>43</v>
      </c>
      <c r="S69" s="12">
        <v>100</v>
      </c>
      <c r="T69" s="12">
        <v>41</v>
      </c>
      <c r="U69" s="12">
        <v>0</v>
      </c>
      <c r="V69" s="12">
        <v>5272</v>
      </c>
      <c r="W69" s="12">
        <v>412</v>
      </c>
      <c r="X69" s="12">
        <v>4491</v>
      </c>
      <c r="Y69" s="12">
        <v>260</v>
      </c>
      <c r="Z69" s="12">
        <v>1451</v>
      </c>
      <c r="AA69" s="12">
        <v>4604</v>
      </c>
      <c r="AB69" s="12">
        <v>283</v>
      </c>
      <c r="AC69" s="12">
        <v>668</v>
      </c>
      <c r="AD69" s="12">
        <v>129</v>
      </c>
      <c r="AE69" s="12">
        <v>113</v>
      </c>
      <c r="AF69" s="12">
        <v>23</v>
      </c>
      <c r="AG69" s="8">
        <f>IFERROR(Cleandata_table3[[#This Row],[Population 20 to 64 years below poverty]]/Cleandata_table3[[#This Row],[Population 20 to 64 years for whom poverty status is determined]],"")</f>
        <v>7.8148710166919572E-2</v>
      </c>
      <c r="AH69" s="8">
        <f>IFERROR(Cleandata_table3[[#This Row],[Population 20 to 64 years unemployed]]/Cleandata_table3[[#This Row],[Population 20 to 64 years in civilian labor force]],"")</f>
        <v>2.4543874891398785E-2</v>
      </c>
      <c r="AI69" s="8">
        <f>IFERROR(Cleandata_table3[[#This Row],[Population 20 to 64 years in civilian labor force]]/Cleandata_table3[[#This Row],[Population 20 to 64 years for whom poverty status is determined]],"")</f>
        <v>0.87329286798179062</v>
      </c>
      <c r="AJ69" s="10">
        <f>IFERROR(Cleandata_table3[[#This Row],[Families with income in the past 12 months below poverty level]]/Cleandata_table3[[#This Row],[Families for whom poverty status is determined]],"")</f>
        <v>0.11344019728729964</v>
      </c>
      <c r="AK69" s="8">
        <f>IFERROR(Cleandata_table3[[#This Row],[Population 20 to 64 years employed]]/Cleandata_table3[[#This Row],[Population 20 to 64 years for whom poverty status is determined]],"")</f>
        <v>0.85185887708649466</v>
      </c>
      <c r="AL69" s="8">
        <f>IFERROR(Cleandata_table3[[#This Row],[Population 20 to 64 years not in labor force]]/Cleandata_table3[[#This Row],[Population 20 to 64 years for whom poverty status is determined]],"")</f>
        <v>0.12670713201820941</v>
      </c>
      <c r="AM69" s="10">
        <f>IFERROR(Cleandata_table3[[#This Row],[Married-couple family with related children of the householder under 18 years below poverty]]/Cleandata_table3[[#This Row],[Families for whom poverty status is determined]],"")</f>
        <v>2.6510480887792849E-2</v>
      </c>
      <c r="AN69" s="10">
        <f>IFERROR(Cleandata_table3[[#This Row],[Married-couple family without related children of the householder under 18 years below poverty]]/Cleandata_table3[[#This Row],[Families for whom poverty status is determined]],"")</f>
        <v>6.1652281134401972E-2</v>
      </c>
      <c r="AO69" s="10">
        <f>IFERROR(Cleandata_table3[[#This Row],[Single parents with related children of the householder under 18 years below poverty]]/Cleandata_table3[[#This Row],[Families for whom poverty status is determined]],"")</f>
        <v>2.5277435265104811E-2</v>
      </c>
      <c r="AP69" s="10">
        <f>IFERROR(Cleandata_table3[[#This Row],[Other family below poverty]]/Cleandata_table3[[#This Row],[Families for whom poverty status is determined]],"")</f>
        <v>0</v>
      </c>
      <c r="AQ69" s="6">
        <f>IFERROR(Cleandata_table3[[#This Row],[Population 16 years and over in civilian labor force unemployed]]/Cleandata_table3[[#This Row],[Population 16 years and over in civilian labor force]],"")</f>
        <v>2.984767393989296E-2</v>
      </c>
      <c r="AR69" s="6">
        <f>IFERROR((Cleandata_table3[[#This Row],[Population 16 years and over in civilian labor force]]-Cleandata_table3[[#This Row],[Population 16 years and over in civilian labor force unemployed]])/Cleandata_table3[[#This Row],[Population 16 years and over]],"")</f>
        <v>0.7457278481012658</v>
      </c>
      <c r="AS69" s="6">
        <f>IFERROR(Cleandata_table3[[#This Row],[Population 16 years and over in civilian labor force]]/Cleandata_table3[[#This Row],[Population 16 years and over]],"")</f>
        <v>0.76867088607594936</v>
      </c>
      <c r="AT69" s="6">
        <f>IFERROR(Cleandata_table3[[#This Row],[Population 16 years and over not in labor force]]/Cleandata_table3[[#This Row],[Population 16 years and over]],"")</f>
        <v>0.23132911392405064</v>
      </c>
      <c r="AU69" t="str">
        <f>Cleandata_table3[[#This Row],[Neighborhood Name]]&amp; " | " &amp;Cleandata_table3[[#This Row],[Neighborhood Subtype]]</f>
        <v>North Beacon Hill | Residential Urban Village</v>
      </c>
      <c r="AV69" t="s">
        <v>107</v>
      </c>
    </row>
    <row r="70" spans="1:48" x14ac:dyDescent="0.35">
      <c r="A70" t="s">
        <v>160</v>
      </c>
      <c r="B70" t="s">
        <v>181</v>
      </c>
      <c r="C70" t="s">
        <v>183</v>
      </c>
      <c r="D70" s="12">
        <v>6515</v>
      </c>
      <c r="E70" s="12">
        <v>1758</v>
      </c>
      <c r="F70" s="12">
        <v>4757</v>
      </c>
      <c r="G70" s="12">
        <v>96</v>
      </c>
      <c r="H70" s="12">
        <v>8214</v>
      </c>
      <c r="I70" s="12">
        <v>628</v>
      </c>
      <c r="J70" s="12">
        <v>1310</v>
      </c>
      <c r="K70" s="12">
        <v>467</v>
      </c>
      <c r="L70" s="12">
        <v>106</v>
      </c>
      <c r="M70" s="12">
        <v>21</v>
      </c>
      <c r="N70" s="12">
        <v>34</v>
      </c>
      <c r="O70" s="12">
        <v>5648</v>
      </c>
      <c r="P70" s="12">
        <v>1793</v>
      </c>
      <c r="Q70" s="12">
        <v>277</v>
      </c>
      <c r="R70" s="12">
        <v>39</v>
      </c>
      <c r="S70" s="12">
        <v>0</v>
      </c>
      <c r="T70" s="12">
        <v>119</v>
      </c>
      <c r="U70" s="12">
        <v>119</v>
      </c>
      <c r="V70" s="12">
        <v>5501</v>
      </c>
      <c r="W70" s="12">
        <v>845</v>
      </c>
      <c r="X70" s="12">
        <v>4495</v>
      </c>
      <c r="Y70" s="12">
        <v>337</v>
      </c>
      <c r="Z70" s="12">
        <v>2566</v>
      </c>
      <c r="AA70" s="12">
        <v>4566</v>
      </c>
      <c r="AB70" s="12">
        <v>361</v>
      </c>
      <c r="AC70" s="12">
        <v>935</v>
      </c>
      <c r="AD70" s="12">
        <v>484</v>
      </c>
      <c r="AE70" s="12">
        <v>71</v>
      </c>
      <c r="AF70" s="12">
        <v>24</v>
      </c>
      <c r="AG70" s="8">
        <f>IFERROR(Cleandata_table3[[#This Row],[Population 20 to 64 years below poverty]]/Cleandata_table3[[#This Row],[Population 20 to 64 years for whom poverty status is determined]],"")</f>
        <v>0.15360843483003089</v>
      </c>
      <c r="AH70" s="8">
        <f>IFERROR(Cleandata_table3[[#This Row],[Population 20 to 64 years unemployed]]/Cleandata_table3[[#This Row],[Population 20 to 64 years in civilian labor force]],"")</f>
        <v>1.5549715286903198E-2</v>
      </c>
      <c r="AI70" s="8">
        <f>IFERROR(Cleandata_table3[[#This Row],[Population 20 to 64 years in civilian labor force]]/Cleandata_table3[[#This Row],[Population 20 to 64 years for whom poverty status is determined]],"")</f>
        <v>0.83003090347209596</v>
      </c>
      <c r="AJ70" s="10">
        <f>IFERROR(Cleandata_table3[[#This Row],[Families with income in the past 12 months below poverty level]]/Cleandata_table3[[#This Row],[Families for whom poverty status is determined]],"")</f>
        <v>0.15448968209704406</v>
      </c>
      <c r="AK70" s="8">
        <f>IFERROR(Cleandata_table3[[#This Row],[Population 20 to 64 years employed]]/Cleandata_table3[[#This Row],[Population 20 to 64 years for whom poverty status is determined]],"")</f>
        <v>0.81712415924377391</v>
      </c>
      <c r="AL70" s="8">
        <f>IFERROR(Cleandata_table3[[#This Row],[Population 20 to 64 years not in labor force]]/Cleandata_table3[[#This Row],[Population 20 to 64 years for whom poverty status is determined]],"")</f>
        <v>0.16996909652790401</v>
      </c>
      <c r="AM70" s="10">
        <f>IFERROR(Cleandata_table3[[#This Row],[Married-couple family with related children of the householder under 18 years below poverty]]/Cleandata_table3[[#This Row],[Families for whom poverty status is determined]],"")</f>
        <v>2.1751254880089235E-2</v>
      </c>
      <c r="AN70" s="10">
        <f>IFERROR(Cleandata_table3[[#This Row],[Married-couple family without related children of the householder under 18 years below poverty]]/Cleandata_table3[[#This Row],[Families for whom poverty status is determined]],"")</f>
        <v>0</v>
      </c>
      <c r="AO70" s="10">
        <f>IFERROR(Cleandata_table3[[#This Row],[Single parents with related children of the householder under 18 years below poverty]]/Cleandata_table3[[#This Row],[Families for whom poverty status is determined]],"")</f>
        <v>6.6369213608477418E-2</v>
      </c>
      <c r="AP70" s="10">
        <f>IFERROR(Cleandata_table3[[#This Row],[Other family below poverty]]/Cleandata_table3[[#This Row],[Families for whom poverty status is determined]],"")</f>
        <v>6.6369213608477418E-2</v>
      </c>
      <c r="AQ70" s="6">
        <f>IFERROR(Cleandata_table3[[#This Row],[Population 16 years and over in civilian labor force unemployed]]/Cleandata_table3[[#This Row],[Population 16 years and over in civilian labor force]],"")</f>
        <v>2.0180786209796089E-2</v>
      </c>
      <c r="AR70" s="6">
        <f>IFERROR((Cleandata_table3[[#This Row],[Population 16 years and over in civilian labor force]]-Cleandata_table3[[#This Row],[Population 16 years and over in civilian labor force unemployed]])/Cleandata_table3[[#This Row],[Population 16 years and over]],"")</f>
        <v>0.71542594013814276</v>
      </c>
      <c r="AS70" s="6">
        <f>IFERROR(Cleandata_table3[[#This Row],[Population 16 years and over in civilian labor force]]/Cleandata_table3[[#This Row],[Population 16 years and over]],"")</f>
        <v>0.73016116653875673</v>
      </c>
      <c r="AT70" s="6">
        <f>IFERROR(Cleandata_table3[[#This Row],[Population 16 years and over not in labor force]]/Cleandata_table3[[#This Row],[Population 16 years and over]],"")</f>
        <v>0.26983883346124327</v>
      </c>
      <c r="AU70" t="str">
        <f>Cleandata_table3[[#This Row],[Neighborhood Name]]&amp; " | " &amp;Cleandata_table3[[#This Row],[Neighborhood Subtype]]</f>
        <v>Columbia City | Residential Urban Village</v>
      </c>
      <c r="AV70" t="s">
        <v>107</v>
      </c>
    </row>
    <row r="71" spans="1:48" x14ac:dyDescent="0.35">
      <c r="A71" t="s">
        <v>190</v>
      </c>
      <c r="B71" t="s">
        <v>181</v>
      </c>
      <c r="C71" t="s">
        <v>183</v>
      </c>
      <c r="D71" s="12">
        <v>2277</v>
      </c>
      <c r="E71" s="12">
        <v>771</v>
      </c>
      <c r="F71" s="12">
        <v>1506</v>
      </c>
      <c r="G71" s="12">
        <v>144</v>
      </c>
      <c r="H71" s="12">
        <v>2742</v>
      </c>
      <c r="I71" s="12">
        <v>28</v>
      </c>
      <c r="J71" s="12">
        <v>44</v>
      </c>
      <c r="K71" s="12">
        <v>133</v>
      </c>
      <c r="L71" s="12">
        <v>69</v>
      </c>
      <c r="M71" s="12">
        <v>99</v>
      </c>
      <c r="N71" s="12">
        <v>155</v>
      </c>
      <c r="O71" s="12">
        <v>2214</v>
      </c>
      <c r="P71" s="12">
        <v>648</v>
      </c>
      <c r="Q71" s="12">
        <v>8</v>
      </c>
      <c r="R71" s="12">
        <v>0</v>
      </c>
      <c r="S71" s="12">
        <v>0</v>
      </c>
      <c r="T71" s="12">
        <v>8</v>
      </c>
      <c r="U71" s="12">
        <v>0</v>
      </c>
      <c r="V71" s="12">
        <v>1595</v>
      </c>
      <c r="W71" s="12">
        <v>40</v>
      </c>
      <c r="X71" s="12">
        <v>1242</v>
      </c>
      <c r="Y71" s="12">
        <v>34</v>
      </c>
      <c r="Z71" s="12">
        <v>528</v>
      </c>
      <c r="AA71" s="12">
        <v>1386</v>
      </c>
      <c r="AB71" s="12">
        <v>38</v>
      </c>
      <c r="AC71" s="12">
        <v>209</v>
      </c>
      <c r="AD71" s="12">
        <v>2</v>
      </c>
      <c r="AE71" s="12">
        <v>144</v>
      </c>
      <c r="AF71" s="12">
        <v>4</v>
      </c>
      <c r="AG71" s="8">
        <f>IFERROR(Cleandata_table3[[#This Row],[Population 20 to 64 years below poverty]]/Cleandata_table3[[#This Row],[Population 20 to 64 years for whom poverty status is determined]],"")</f>
        <v>2.5078369905956112E-2</v>
      </c>
      <c r="AH71" s="8">
        <f>IFERROR(Cleandata_table3[[#This Row],[Population 20 to 64 years unemployed]]/Cleandata_table3[[#This Row],[Population 20 to 64 years in civilian labor force]],"")</f>
        <v>0.1038961038961039</v>
      </c>
      <c r="AI71" s="8">
        <f>IFERROR(Cleandata_table3[[#This Row],[Population 20 to 64 years in civilian labor force]]/Cleandata_table3[[#This Row],[Population 20 to 64 years for whom poverty status is determined]],"")</f>
        <v>0.86896551724137927</v>
      </c>
      <c r="AJ71" s="10">
        <f>IFERROR(Cleandata_table3[[#This Row],[Families with income in the past 12 months below poverty level]]/Cleandata_table3[[#This Row],[Families for whom poverty status is determined]],"")</f>
        <v>1.2345679012345678E-2</v>
      </c>
      <c r="AK71" s="8">
        <f>IFERROR(Cleandata_table3[[#This Row],[Population 20 to 64 years employed]]/Cleandata_table3[[#This Row],[Population 20 to 64 years for whom poverty status is determined]],"")</f>
        <v>0.77868338557993733</v>
      </c>
      <c r="AL71" s="8">
        <f>IFERROR(Cleandata_table3[[#This Row],[Population 20 to 64 years not in labor force]]/Cleandata_table3[[#This Row],[Population 20 to 64 years for whom poverty status is determined]],"")</f>
        <v>0.1310344827586207</v>
      </c>
      <c r="AM71" s="10">
        <f>IFERROR(Cleandata_table3[[#This Row],[Married-couple family with related children of the householder under 18 years below poverty]]/Cleandata_table3[[#This Row],[Families for whom poverty status is determined]],"")</f>
        <v>0</v>
      </c>
      <c r="AN71" s="10">
        <f>IFERROR(Cleandata_table3[[#This Row],[Married-couple family without related children of the householder under 18 years below poverty]]/Cleandata_table3[[#This Row],[Families for whom poverty status is determined]],"")</f>
        <v>0</v>
      </c>
      <c r="AO71" s="10">
        <f>IFERROR(Cleandata_table3[[#This Row],[Single parents with related children of the householder under 18 years below poverty]]/Cleandata_table3[[#This Row],[Families for whom poverty status is determined]],"")</f>
        <v>1.2345679012345678E-2</v>
      </c>
      <c r="AP71" s="10">
        <f>IFERROR(Cleandata_table3[[#This Row],[Other family below poverty]]/Cleandata_table3[[#This Row],[Families for whom poverty status is determined]],"")</f>
        <v>0</v>
      </c>
      <c r="AQ71" s="6">
        <f>IFERROR(Cleandata_table3[[#This Row],[Population 16 years and over in civilian labor force unemployed]]/Cleandata_table3[[#This Row],[Population 16 years and over in civilian labor force]],"")</f>
        <v>9.5617529880478086E-2</v>
      </c>
      <c r="AR71" s="6">
        <f>IFERROR((Cleandata_table3[[#This Row],[Population 16 years and over in civilian labor force]]-Cleandata_table3[[#This Row],[Population 16 years and over in civilian labor force unemployed]])/Cleandata_table3[[#This Row],[Population 16 years and over]],"")</f>
        <v>0.59815546772068506</v>
      </c>
      <c r="AS71" s="6">
        <f>IFERROR(Cleandata_table3[[#This Row],[Population 16 years and over in civilian labor force]]/Cleandata_table3[[#This Row],[Population 16 years and over]],"")</f>
        <v>0.66139657444005273</v>
      </c>
      <c r="AT71" s="6">
        <f>IFERROR(Cleandata_table3[[#This Row],[Population 16 years and over not in labor force]]/Cleandata_table3[[#This Row],[Population 16 years and over]],"")</f>
        <v>0.33860342555994732</v>
      </c>
      <c r="AU71" t="str">
        <f>Cleandata_table3[[#This Row],[Neighborhood Name]]&amp; " | " &amp;Cleandata_table3[[#This Row],[Neighborhood Subtype]]</f>
        <v>Admiral | Residential Urban Village</v>
      </c>
      <c r="AV71" t="s">
        <v>107</v>
      </c>
    </row>
    <row r="72" spans="1:48" x14ac:dyDescent="0.35">
      <c r="A72" t="s">
        <v>191</v>
      </c>
      <c r="B72" t="s">
        <v>181</v>
      </c>
      <c r="C72" t="s">
        <v>192</v>
      </c>
      <c r="D72" s="12">
        <v>5862</v>
      </c>
      <c r="E72" s="12">
        <v>1867</v>
      </c>
      <c r="F72" s="12">
        <v>3995</v>
      </c>
      <c r="G72" s="12">
        <v>270</v>
      </c>
      <c r="H72" s="12">
        <v>6922</v>
      </c>
      <c r="I72" s="12">
        <v>376</v>
      </c>
      <c r="J72" s="12">
        <v>747</v>
      </c>
      <c r="K72" s="12">
        <v>83</v>
      </c>
      <c r="L72" s="12">
        <v>166</v>
      </c>
      <c r="M72" s="12">
        <v>701</v>
      </c>
      <c r="N72" s="12">
        <v>44</v>
      </c>
      <c r="O72" s="12">
        <v>4805</v>
      </c>
      <c r="P72" s="12">
        <v>1484</v>
      </c>
      <c r="Q72" s="12">
        <v>186</v>
      </c>
      <c r="R72" s="12">
        <v>51</v>
      </c>
      <c r="S72" s="12">
        <v>31</v>
      </c>
      <c r="T72" s="12">
        <v>81</v>
      </c>
      <c r="U72" s="12">
        <v>23</v>
      </c>
      <c r="V72" s="12">
        <v>4380</v>
      </c>
      <c r="W72" s="12">
        <v>520</v>
      </c>
      <c r="X72" s="12">
        <v>3430</v>
      </c>
      <c r="Y72" s="12">
        <v>220</v>
      </c>
      <c r="Z72" s="12">
        <v>2117</v>
      </c>
      <c r="AA72" s="12">
        <v>3700</v>
      </c>
      <c r="AB72" s="12">
        <v>296</v>
      </c>
      <c r="AC72" s="12">
        <v>680</v>
      </c>
      <c r="AD72" s="12">
        <v>224</v>
      </c>
      <c r="AE72" s="12">
        <v>270</v>
      </c>
      <c r="AF72" s="12">
        <v>76</v>
      </c>
      <c r="AG72" s="8">
        <f>IFERROR(Cleandata_table3[[#This Row],[Population 20 to 64 years below poverty]]/Cleandata_table3[[#This Row],[Population 20 to 64 years for whom poverty status is determined]],"")</f>
        <v>0.11872146118721461</v>
      </c>
      <c r="AH72" s="8">
        <f>IFERROR(Cleandata_table3[[#This Row],[Population 20 to 64 years unemployed]]/Cleandata_table3[[#This Row],[Population 20 to 64 years in civilian labor force]],"")</f>
        <v>7.2972972972972977E-2</v>
      </c>
      <c r="AI72" s="8">
        <f>IFERROR(Cleandata_table3[[#This Row],[Population 20 to 64 years in civilian labor force]]/Cleandata_table3[[#This Row],[Population 20 to 64 years for whom poverty status is determined]],"")</f>
        <v>0.84474885844748859</v>
      </c>
      <c r="AJ72" s="10">
        <f>IFERROR(Cleandata_table3[[#This Row],[Families with income in the past 12 months below poverty level]]/Cleandata_table3[[#This Row],[Families for whom poverty status is determined]],"")</f>
        <v>0.12533692722371967</v>
      </c>
      <c r="AK72" s="8">
        <f>IFERROR(Cleandata_table3[[#This Row],[Population 20 to 64 years employed]]/Cleandata_table3[[#This Row],[Population 20 to 64 years for whom poverty status is determined]],"")</f>
        <v>0.78310502283105021</v>
      </c>
      <c r="AL72" s="8">
        <f>IFERROR(Cleandata_table3[[#This Row],[Population 20 to 64 years not in labor force]]/Cleandata_table3[[#This Row],[Population 20 to 64 years for whom poverty status is determined]],"")</f>
        <v>0.15525114155251141</v>
      </c>
      <c r="AM72" s="10">
        <f>IFERROR(Cleandata_table3[[#This Row],[Married-couple family with related children of the householder under 18 years below poverty]]/Cleandata_table3[[#This Row],[Families for whom poverty status is determined]],"")</f>
        <v>3.436657681940701E-2</v>
      </c>
      <c r="AN72" s="10">
        <f>IFERROR(Cleandata_table3[[#This Row],[Married-couple family without related children of the householder under 18 years below poverty]]/Cleandata_table3[[#This Row],[Families for whom poverty status is determined]],"")</f>
        <v>2.0889487870619946E-2</v>
      </c>
      <c r="AO72" s="10">
        <f>IFERROR(Cleandata_table3[[#This Row],[Single parents with related children of the householder under 18 years below poverty]]/Cleandata_table3[[#This Row],[Families for whom poverty status is determined]],"")</f>
        <v>5.4582210242587602E-2</v>
      </c>
      <c r="AP72" s="10">
        <f>IFERROR(Cleandata_table3[[#This Row],[Other family below poverty]]/Cleandata_table3[[#This Row],[Families for whom poverty status is determined]],"")</f>
        <v>1.5498652291105121E-2</v>
      </c>
      <c r="AQ72" s="6">
        <f>IFERROR(Cleandata_table3[[#This Row],[Population 16 years and over in civilian labor force unemployed]]/Cleandata_table3[[#This Row],[Population 16 years and over in civilian labor force]],"")</f>
        <v>6.7584480600750937E-2</v>
      </c>
      <c r="AR72" s="6">
        <f>IFERROR((Cleandata_table3[[#This Row],[Population 16 years and over in civilian labor force]]-Cleandata_table3[[#This Row],[Population 16 years and over in civilian labor force unemployed]])/Cleandata_table3[[#This Row],[Population 16 years and over]],"")</f>
        <v>0.63544865233708636</v>
      </c>
      <c r="AS72" s="6">
        <f>IFERROR(Cleandata_table3[[#This Row],[Population 16 years and over in civilian labor force]]/Cleandata_table3[[#This Row],[Population 16 years and over]],"")</f>
        <v>0.68150801774138514</v>
      </c>
      <c r="AT72" s="6">
        <f>IFERROR(Cleandata_table3[[#This Row],[Population 16 years and over not in labor force]]/Cleandata_table3[[#This Row],[Population 16 years and over]],"")</f>
        <v>0.3184919822586148</v>
      </c>
      <c r="AU72" t="str">
        <f>Cleandata_table3[[#This Row],[Neighborhood Name]]&amp; " | " &amp;Cleandata_table3[[#This Row],[Neighborhood Subtype]]</f>
        <v>Bitter Lake Village | Hub Urban Village</v>
      </c>
      <c r="AV72" t="s">
        <v>107</v>
      </c>
    </row>
    <row r="73" spans="1:48" x14ac:dyDescent="0.35">
      <c r="A73" t="s">
        <v>193</v>
      </c>
      <c r="B73" t="s">
        <v>181</v>
      </c>
      <c r="C73" t="s">
        <v>183</v>
      </c>
      <c r="D73" s="12">
        <v>11987</v>
      </c>
      <c r="E73" s="12">
        <v>4228</v>
      </c>
      <c r="F73" s="12">
        <v>7752</v>
      </c>
      <c r="G73" s="12">
        <v>281</v>
      </c>
      <c r="H73" s="12">
        <v>14316</v>
      </c>
      <c r="I73" s="12">
        <v>802</v>
      </c>
      <c r="J73" s="12">
        <v>1936</v>
      </c>
      <c r="K73" s="12">
        <v>814</v>
      </c>
      <c r="L73" s="12">
        <v>589</v>
      </c>
      <c r="M73" s="12">
        <v>729</v>
      </c>
      <c r="N73" s="12">
        <v>357</v>
      </c>
      <c r="O73" s="12">
        <v>9089</v>
      </c>
      <c r="P73" s="12">
        <v>3031</v>
      </c>
      <c r="Q73" s="12">
        <v>377</v>
      </c>
      <c r="R73" s="12">
        <v>162</v>
      </c>
      <c r="S73" s="12">
        <v>111</v>
      </c>
      <c r="T73" s="12">
        <v>62</v>
      </c>
      <c r="U73" s="12">
        <v>42</v>
      </c>
      <c r="V73" s="12">
        <v>9200</v>
      </c>
      <c r="W73" s="12">
        <v>1305</v>
      </c>
      <c r="X73" s="12">
        <v>7007</v>
      </c>
      <c r="Y73" s="12">
        <v>377</v>
      </c>
      <c r="Z73" s="12">
        <v>5227</v>
      </c>
      <c r="AA73" s="12">
        <v>7234</v>
      </c>
      <c r="AB73" s="12">
        <v>439</v>
      </c>
      <c r="AC73" s="12">
        <v>1959</v>
      </c>
      <c r="AD73" s="12">
        <v>866</v>
      </c>
      <c r="AE73" s="12">
        <v>227</v>
      </c>
      <c r="AF73" s="12">
        <v>62</v>
      </c>
      <c r="AG73" s="8">
        <f>IFERROR(Cleandata_table3[[#This Row],[Population 20 to 64 years below poverty]]/Cleandata_table3[[#This Row],[Population 20 to 64 years for whom poverty status is determined]],"")</f>
        <v>0.14184782608695654</v>
      </c>
      <c r="AH73" s="8">
        <f>IFERROR(Cleandata_table3[[#This Row],[Population 20 to 64 years unemployed]]/Cleandata_table3[[#This Row],[Population 20 to 64 years in civilian labor force]],"")</f>
        <v>3.1379596350566766E-2</v>
      </c>
      <c r="AI73" s="8">
        <f>IFERROR(Cleandata_table3[[#This Row],[Population 20 to 64 years in civilian labor force]]/Cleandata_table3[[#This Row],[Population 20 to 64 years for whom poverty status is determined]],"")</f>
        <v>0.78630434782608694</v>
      </c>
      <c r="AJ73" s="10">
        <f>IFERROR(Cleandata_table3[[#This Row],[Families with income in the past 12 months below poverty level]]/Cleandata_table3[[#This Row],[Families for whom poverty status is determined]],"")</f>
        <v>0.12438139227977565</v>
      </c>
      <c r="AK73" s="8">
        <f>IFERROR(Cleandata_table3[[#This Row],[Population 20 to 64 years employed]]/Cleandata_table3[[#This Row],[Population 20 to 64 years for whom poverty status is determined]],"")</f>
        <v>0.76163043478260872</v>
      </c>
      <c r="AL73" s="8">
        <f>IFERROR(Cleandata_table3[[#This Row],[Population 20 to 64 years not in labor force]]/Cleandata_table3[[#This Row],[Population 20 to 64 years for whom poverty status is determined]],"")</f>
        <v>0.21293478260869564</v>
      </c>
      <c r="AM73" s="10">
        <f>IFERROR(Cleandata_table3[[#This Row],[Married-couple family with related children of the householder under 18 years below poverty]]/Cleandata_table3[[#This Row],[Families for whom poverty status is determined]],"")</f>
        <v>5.3447707027383703E-2</v>
      </c>
      <c r="AN73" s="10">
        <f>IFERROR(Cleandata_table3[[#This Row],[Married-couple family without related children of the householder under 18 years below poverty]]/Cleandata_table3[[#This Row],[Families for whom poverty status is determined]],"")</f>
        <v>3.6621577037281423E-2</v>
      </c>
      <c r="AO73" s="10">
        <f>IFERROR(Cleandata_table3[[#This Row],[Single parents with related children of the householder under 18 years below poverty]]/Cleandata_table3[[#This Row],[Families for whom poverty status is determined]],"")</f>
        <v>2.0455295282085121E-2</v>
      </c>
      <c r="AP73" s="10">
        <f>IFERROR(Cleandata_table3[[#This Row],[Other family below poverty]]/Cleandata_table3[[#This Row],[Families for whom poverty status is determined]],"")</f>
        <v>1.3856812933025405E-2</v>
      </c>
      <c r="AQ73" s="6">
        <f>IFERROR(Cleandata_table3[[#This Row],[Population 16 years and over in civilian labor force unemployed]]/Cleandata_table3[[#This Row],[Population 16 years and over in civilian labor force]],"")</f>
        <v>3.6248710010319915E-2</v>
      </c>
      <c r="AR73" s="6">
        <f>IFERROR((Cleandata_table3[[#This Row],[Population 16 years and over in civilian labor force]]-Cleandata_table3[[#This Row],[Population 16 years and over in civilian labor force unemployed]])/Cleandata_table3[[#This Row],[Population 16 years and over]],"")</f>
        <v>0.62325853007424714</v>
      </c>
      <c r="AS73" s="6">
        <f>IFERROR(Cleandata_table3[[#This Row],[Population 16 years and over in civilian labor force]]/Cleandata_table3[[#This Row],[Population 16 years and over]],"")</f>
        <v>0.64670059230833399</v>
      </c>
      <c r="AT73" s="6">
        <f>IFERROR(Cleandata_table3[[#This Row],[Population 16 years and over not in labor force]]/Cleandata_table3[[#This Row],[Population 16 years and over]],"")</f>
        <v>0.35271544172853925</v>
      </c>
      <c r="AU73" t="str">
        <f>Cleandata_table3[[#This Row],[Neighborhood Name]]&amp; " | " &amp;Cleandata_table3[[#This Row],[Neighborhood Subtype]]</f>
        <v>Othello | Residential Urban Village</v>
      </c>
      <c r="AV73" t="s">
        <v>107</v>
      </c>
    </row>
    <row r="74" spans="1:48" x14ac:dyDescent="0.35">
      <c r="A74" t="s">
        <v>194</v>
      </c>
      <c r="B74" t="s">
        <v>181</v>
      </c>
      <c r="C74" t="s">
        <v>183</v>
      </c>
      <c r="D74" s="12">
        <v>5235</v>
      </c>
      <c r="E74" s="12">
        <v>1045</v>
      </c>
      <c r="F74" s="12">
        <v>4190</v>
      </c>
      <c r="G74" s="12">
        <v>176</v>
      </c>
      <c r="H74" s="12">
        <v>6127</v>
      </c>
      <c r="I74" s="12">
        <v>55</v>
      </c>
      <c r="J74" s="12">
        <v>168</v>
      </c>
      <c r="K74" s="12">
        <v>186</v>
      </c>
      <c r="L74" s="12">
        <v>114</v>
      </c>
      <c r="M74" s="12">
        <v>126</v>
      </c>
      <c r="N74" s="12">
        <v>111</v>
      </c>
      <c r="O74" s="12">
        <v>5367</v>
      </c>
      <c r="P74" s="12">
        <v>1519</v>
      </c>
      <c r="Q74" s="12">
        <v>19</v>
      </c>
      <c r="R74" s="12">
        <v>0</v>
      </c>
      <c r="S74" s="12">
        <v>0</v>
      </c>
      <c r="T74" s="12">
        <v>0</v>
      </c>
      <c r="U74" s="12">
        <v>19</v>
      </c>
      <c r="V74" s="12">
        <v>4252</v>
      </c>
      <c r="W74" s="12">
        <v>149</v>
      </c>
      <c r="X74" s="12">
        <v>3857</v>
      </c>
      <c r="Y74" s="12">
        <v>69</v>
      </c>
      <c r="Z74" s="12">
        <v>760</v>
      </c>
      <c r="AA74" s="12">
        <v>3953</v>
      </c>
      <c r="AB74" s="12">
        <v>99</v>
      </c>
      <c r="AC74" s="12">
        <v>299</v>
      </c>
      <c r="AD74" s="12">
        <v>50</v>
      </c>
      <c r="AE74" s="12">
        <v>96</v>
      </c>
      <c r="AF74" s="12">
        <v>30</v>
      </c>
      <c r="AG74" s="8">
        <f>IFERROR(Cleandata_table3[[#This Row],[Population 20 to 64 years below poverty]]/Cleandata_table3[[#This Row],[Population 20 to 64 years for whom poverty status is determined]],"")</f>
        <v>3.5042333019755408E-2</v>
      </c>
      <c r="AH74" s="8">
        <f>IFERROR(Cleandata_table3[[#This Row],[Population 20 to 64 years unemployed]]/Cleandata_table3[[#This Row],[Population 20 to 64 years in civilian labor force]],"")</f>
        <v>2.4285352896534277E-2</v>
      </c>
      <c r="AI74" s="8">
        <f>IFERROR(Cleandata_table3[[#This Row],[Population 20 to 64 years in civilian labor force]]/Cleandata_table3[[#This Row],[Population 20 to 64 years for whom poverty status is determined]],"")</f>
        <v>0.9296801505174036</v>
      </c>
      <c r="AJ74" s="10">
        <f>IFERROR(Cleandata_table3[[#This Row],[Families with income in the past 12 months below poverty level]]/Cleandata_table3[[#This Row],[Families for whom poverty status is determined]],"")</f>
        <v>1.2508229098090849E-2</v>
      </c>
      <c r="AK74" s="8">
        <f>IFERROR(Cleandata_table3[[#This Row],[Population 20 to 64 years employed]]/Cleandata_table3[[#This Row],[Population 20 to 64 years for whom poverty status is determined]],"")</f>
        <v>0.90710253998118529</v>
      </c>
      <c r="AL74" s="8">
        <f>IFERROR(Cleandata_table3[[#This Row],[Population 20 to 64 years not in labor force]]/Cleandata_table3[[#This Row],[Population 20 to 64 years for whom poverty status is determined]],"")</f>
        <v>7.0319849482596425E-2</v>
      </c>
      <c r="AM74" s="10">
        <f>IFERROR(Cleandata_table3[[#This Row],[Married-couple family with related children of the householder under 18 years below poverty]]/Cleandata_table3[[#This Row],[Families for whom poverty status is determined]],"")</f>
        <v>0</v>
      </c>
      <c r="AN74" s="10">
        <f>IFERROR(Cleandata_table3[[#This Row],[Married-couple family without related children of the householder under 18 years below poverty]]/Cleandata_table3[[#This Row],[Families for whom poverty status is determined]],"")</f>
        <v>0</v>
      </c>
      <c r="AO74" s="10">
        <f>IFERROR(Cleandata_table3[[#This Row],[Single parents with related children of the householder under 18 years below poverty]]/Cleandata_table3[[#This Row],[Families for whom poverty status is determined]],"")</f>
        <v>0</v>
      </c>
      <c r="AP74" s="10">
        <f>IFERROR(Cleandata_table3[[#This Row],[Other family below poverty]]/Cleandata_table3[[#This Row],[Families for whom poverty status is determined]],"")</f>
        <v>1.2508229098090849E-2</v>
      </c>
      <c r="AQ74" s="6">
        <f>IFERROR(Cleandata_table3[[#This Row],[Population 16 years and over in civilian labor force unemployed]]/Cleandata_table3[[#This Row],[Population 16 years and over in civilian labor force]],"")</f>
        <v>4.2004773269689738E-2</v>
      </c>
      <c r="AR74" s="6">
        <f>IFERROR((Cleandata_table3[[#This Row],[Population 16 years and over in civilian labor force]]-Cleandata_table3[[#This Row],[Population 16 years and over in civilian labor force unemployed]])/Cleandata_table3[[#This Row],[Population 16 years and over]],"")</f>
        <v>0.76676217765042975</v>
      </c>
      <c r="AS74" s="6">
        <f>IFERROR(Cleandata_table3[[#This Row],[Population 16 years and over in civilian labor force]]/Cleandata_table3[[#This Row],[Population 16 years and over]],"")</f>
        <v>0.80038204393505252</v>
      </c>
      <c r="AT74" s="6">
        <f>IFERROR(Cleandata_table3[[#This Row],[Population 16 years and over not in labor force]]/Cleandata_table3[[#This Row],[Population 16 years and over]],"")</f>
        <v>0.19961795606494748</v>
      </c>
      <c r="AU74" t="str">
        <f>Cleandata_table3[[#This Row],[Neighborhood Name]]&amp; " | " &amp;Cleandata_table3[[#This Row],[Neighborhood Subtype]]</f>
        <v>Westwood-Highland Park | Residential Urban Village</v>
      </c>
      <c r="AV74" t="s">
        <v>107</v>
      </c>
    </row>
    <row r="75" spans="1:48" x14ac:dyDescent="0.35">
      <c r="A75" t="s">
        <v>151</v>
      </c>
      <c r="B75" t="s">
        <v>181</v>
      </c>
      <c r="C75" t="s">
        <v>183</v>
      </c>
      <c r="D75" s="12">
        <v>3281</v>
      </c>
      <c r="E75" s="12">
        <v>793</v>
      </c>
      <c r="F75" s="12">
        <v>2401</v>
      </c>
      <c r="G75" s="12">
        <v>160</v>
      </c>
      <c r="H75" s="12">
        <v>4003</v>
      </c>
      <c r="I75" s="12">
        <v>323</v>
      </c>
      <c r="J75" s="12">
        <v>558</v>
      </c>
      <c r="K75" s="12">
        <v>198</v>
      </c>
      <c r="L75" s="12">
        <v>362</v>
      </c>
      <c r="M75" s="12">
        <v>172</v>
      </c>
      <c r="N75" s="12">
        <v>9</v>
      </c>
      <c r="O75" s="12">
        <v>2381</v>
      </c>
      <c r="P75" s="12">
        <v>900</v>
      </c>
      <c r="Q75" s="12">
        <v>162</v>
      </c>
      <c r="R75" s="12">
        <v>52</v>
      </c>
      <c r="S75" s="12">
        <v>0</v>
      </c>
      <c r="T75" s="12">
        <v>101</v>
      </c>
      <c r="U75" s="12">
        <v>9</v>
      </c>
      <c r="V75" s="12">
        <v>2651</v>
      </c>
      <c r="W75" s="12">
        <v>470</v>
      </c>
      <c r="X75" s="12">
        <v>2062</v>
      </c>
      <c r="Y75" s="12">
        <v>205</v>
      </c>
      <c r="Z75" s="12">
        <v>1622</v>
      </c>
      <c r="AA75" s="12">
        <v>2222</v>
      </c>
      <c r="AB75" s="12">
        <v>255</v>
      </c>
      <c r="AC75" s="12">
        <v>342</v>
      </c>
      <c r="AD75" s="12">
        <v>215</v>
      </c>
      <c r="AE75" s="12">
        <v>160</v>
      </c>
      <c r="AF75" s="12">
        <v>50</v>
      </c>
      <c r="AG75" s="8">
        <f>IFERROR(Cleandata_table3[[#This Row],[Population 20 to 64 years below poverty]]/Cleandata_table3[[#This Row],[Population 20 to 64 years for whom poverty status is determined]],"")</f>
        <v>0.17729158807996984</v>
      </c>
      <c r="AH75" s="8">
        <f>IFERROR(Cleandata_table3[[#This Row],[Population 20 to 64 years unemployed]]/Cleandata_table3[[#This Row],[Population 20 to 64 years in civilian labor force]],"")</f>
        <v>7.2007200720072009E-2</v>
      </c>
      <c r="AI75" s="8">
        <f>IFERROR(Cleandata_table3[[#This Row],[Population 20 to 64 years in civilian labor force]]/Cleandata_table3[[#This Row],[Population 20 to 64 years for whom poverty status is determined]],"")</f>
        <v>0.83817427385892118</v>
      </c>
      <c r="AJ75" s="10">
        <f>IFERROR(Cleandata_table3[[#This Row],[Families with income in the past 12 months below poverty level]]/Cleandata_table3[[#This Row],[Families for whom poverty status is determined]],"")</f>
        <v>0.18</v>
      </c>
      <c r="AK75" s="8">
        <f>IFERROR(Cleandata_table3[[#This Row],[Population 20 to 64 years employed]]/Cleandata_table3[[#This Row],[Population 20 to 64 years for whom poverty status is determined]],"")</f>
        <v>0.77781969068276124</v>
      </c>
      <c r="AL75" s="8">
        <f>IFERROR(Cleandata_table3[[#This Row],[Population 20 to 64 years not in labor force]]/Cleandata_table3[[#This Row],[Population 20 to 64 years for whom poverty status is determined]],"")</f>
        <v>0.12900792153904186</v>
      </c>
      <c r="AM75" s="10">
        <f>IFERROR(Cleandata_table3[[#This Row],[Married-couple family with related children of the householder under 18 years below poverty]]/Cleandata_table3[[#This Row],[Families for whom poverty status is determined]],"")</f>
        <v>5.7777777777777775E-2</v>
      </c>
      <c r="AN75" s="10">
        <f>IFERROR(Cleandata_table3[[#This Row],[Married-couple family without related children of the householder under 18 years below poverty]]/Cleandata_table3[[#This Row],[Families for whom poverty status is determined]],"")</f>
        <v>0</v>
      </c>
      <c r="AO75" s="10">
        <f>IFERROR(Cleandata_table3[[#This Row],[Single parents with related children of the householder under 18 years below poverty]]/Cleandata_table3[[#This Row],[Families for whom poverty status is determined]],"")</f>
        <v>0.11222222222222222</v>
      </c>
      <c r="AP75" s="10">
        <f>IFERROR(Cleandata_table3[[#This Row],[Other family below poverty]]/Cleandata_table3[[#This Row],[Families for whom poverty status is determined]],"")</f>
        <v>0.01</v>
      </c>
      <c r="AQ75" s="6">
        <f>IFERROR(Cleandata_table3[[#This Row],[Population 16 years and over in civilian labor force unemployed]]/Cleandata_table3[[#This Row],[Population 16 years and over in civilian labor force]],"")</f>
        <v>6.6638900458142442E-2</v>
      </c>
      <c r="AR75" s="6">
        <f>IFERROR((Cleandata_table3[[#This Row],[Population 16 years and over in civilian labor force]]-Cleandata_table3[[#This Row],[Population 16 years and over in civilian labor force unemployed]])/Cleandata_table3[[#This Row],[Population 16 years and over]],"")</f>
        <v>0.68302346845473938</v>
      </c>
      <c r="AS75" s="6">
        <f>IFERROR(Cleandata_table3[[#This Row],[Population 16 years and over in civilian labor force]]/Cleandata_table3[[#This Row],[Population 16 years and over]],"")</f>
        <v>0.73178908869247183</v>
      </c>
      <c r="AT75" s="6">
        <f>IFERROR(Cleandata_table3[[#This Row],[Population 16 years and over not in labor force]]/Cleandata_table3[[#This Row],[Population 16 years and over]],"")</f>
        <v>0.2416946053032612</v>
      </c>
      <c r="AU75" t="str">
        <f>Cleandata_table3[[#This Row],[Neighborhood Name]]&amp; " | " &amp;Cleandata_table3[[#This Row],[Neighborhood Subtype]]</f>
        <v>South Park | Residential Urban Village</v>
      </c>
      <c r="AV75" t="s">
        <v>107</v>
      </c>
    </row>
    <row r="76" spans="1:48" x14ac:dyDescent="0.35">
      <c r="A76" t="s">
        <v>195</v>
      </c>
      <c r="B76" t="s">
        <v>181</v>
      </c>
      <c r="C76" t="s">
        <v>183</v>
      </c>
      <c r="D76" s="12">
        <v>7960</v>
      </c>
      <c r="E76" s="12">
        <v>1480</v>
      </c>
      <c r="F76" s="12">
        <v>6480</v>
      </c>
      <c r="G76" s="12">
        <v>260</v>
      </c>
      <c r="H76" s="12">
        <v>8468</v>
      </c>
      <c r="I76" s="12">
        <v>474</v>
      </c>
      <c r="J76" s="12">
        <v>363</v>
      </c>
      <c r="K76" s="12">
        <v>121</v>
      </c>
      <c r="L76" s="12">
        <v>212</v>
      </c>
      <c r="M76" s="12">
        <v>110</v>
      </c>
      <c r="N76" s="12">
        <v>76</v>
      </c>
      <c r="O76" s="12">
        <v>7112</v>
      </c>
      <c r="P76" s="12">
        <v>1262</v>
      </c>
      <c r="Q76" s="12">
        <v>15</v>
      </c>
      <c r="R76" s="12">
        <v>0</v>
      </c>
      <c r="S76" s="12">
        <v>0</v>
      </c>
      <c r="T76" s="12">
        <v>15</v>
      </c>
      <c r="U76" s="12">
        <v>0</v>
      </c>
      <c r="V76" s="12">
        <v>7137</v>
      </c>
      <c r="W76" s="12">
        <v>649</v>
      </c>
      <c r="X76" s="12">
        <v>6054</v>
      </c>
      <c r="Y76" s="12">
        <v>167</v>
      </c>
      <c r="Z76" s="12">
        <v>1356</v>
      </c>
      <c r="AA76" s="12">
        <v>6314</v>
      </c>
      <c r="AB76" s="12">
        <v>232</v>
      </c>
      <c r="AC76" s="12">
        <v>823</v>
      </c>
      <c r="AD76" s="12">
        <v>417</v>
      </c>
      <c r="AE76" s="12">
        <v>260</v>
      </c>
      <c r="AF76" s="12">
        <v>65</v>
      </c>
      <c r="AG76" s="8">
        <f>IFERROR(Cleandata_table3[[#This Row],[Population 20 to 64 years below poverty]]/Cleandata_table3[[#This Row],[Population 20 to 64 years for whom poverty status is determined]],"")</f>
        <v>9.0934566344402404E-2</v>
      </c>
      <c r="AH76" s="8">
        <f>IFERROR(Cleandata_table3[[#This Row],[Population 20 to 64 years unemployed]]/Cleandata_table3[[#This Row],[Population 20 to 64 years in civilian labor force]],"")</f>
        <v>4.1178333861260692E-2</v>
      </c>
      <c r="AI76" s="8">
        <f>IFERROR(Cleandata_table3[[#This Row],[Population 20 to 64 years in civilian labor force]]/Cleandata_table3[[#This Row],[Population 20 to 64 years for whom poverty status is determined]],"")</f>
        <v>0.88468544206249122</v>
      </c>
      <c r="AJ76" s="10">
        <f>IFERROR(Cleandata_table3[[#This Row],[Families with income in the past 12 months below poverty level]]/Cleandata_table3[[#This Row],[Families for whom poverty status is determined]],"")</f>
        <v>1.1885895404120444E-2</v>
      </c>
      <c r="AK76" s="8">
        <f>IFERROR(Cleandata_table3[[#This Row],[Population 20 to 64 years employed]]/Cleandata_table3[[#This Row],[Population 20 to 64 years for whom poverty status is determined]],"")</f>
        <v>0.84825556956704495</v>
      </c>
      <c r="AL76" s="8">
        <f>IFERROR(Cleandata_table3[[#This Row],[Population 20 to 64 years not in labor force]]/Cleandata_table3[[#This Row],[Population 20 to 64 years for whom poverty status is determined]],"")</f>
        <v>0.11531455793750876</v>
      </c>
      <c r="AM76" s="10">
        <f>IFERROR(Cleandata_table3[[#This Row],[Married-couple family with related children of the householder under 18 years below poverty]]/Cleandata_table3[[#This Row],[Families for whom poverty status is determined]],"")</f>
        <v>0</v>
      </c>
      <c r="AN76" s="10">
        <f>IFERROR(Cleandata_table3[[#This Row],[Married-couple family without related children of the householder under 18 years below poverty]]/Cleandata_table3[[#This Row],[Families for whom poverty status is determined]],"")</f>
        <v>0</v>
      </c>
      <c r="AO76" s="10">
        <f>IFERROR(Cleandata_table3[[#This Row],[Single parents with related children of the householder under 18 years below poverty]]/Cleandata_table3[[#This Row],[Families for whom poverty status is determined]],"")</f>
        <v>1.1885895404120444E-2</v>
      </c>
      <c r="AP76" s="10">
        <f>IFERROR(Cleandata_table3[[#This Row],[Other family below poverty]]/Cleandata_table3[[#This Row],[Families for whom poverty status is determined]],"")</f>
        <v>0</v>
      </c>
      <c r="AQ76" s="6">
        <f>IFERROR(Cleandata_table3[[#This Row],[Population 16 years and over in civilian labor force unemployed]]/Cleandata_table3[[#This Row],[Population 16 years and over in civilian labor force]],"")</f>
        <v>4.0123456790123455E-2</v>
      </c>
      <c r="AR76" s="6">
        <f>IFERROR((Cleandata_table3[[#This Row],[Population 16 years and over in civilian labor force]]-Cleandata_table3[[#This Row],[Population 16 years and over in civilian labor force unemployed]])/Cleandata_table3[[#This Row],[Population 16 years and over]],"")</f>
        <v>0.78140703517587939</v>
      </c>
      <c r="AS76" s="6">
        <f>IFERROR(Cleandata_table3[[#This Row],[Population 16 years and over in civilian labor force]]/Cleandata_table3[[#This Row],[Population 16 years and over]],"")</f>
        <v>0.81407035175879394</v>
      </c>
      <c r="AT76" s="6">
        <f>IFERROR(Cleandata_table3[[#This Row],[Population 16 years and over not in labor force]]/Cleandata_table3[[#This Row],[Population 16 years and over]],"")</f>
        <v>0.18592964824120603</v>
      </c>
      <c r="AU76" t="str">
        <f>Cleandata_table3[[#This Row],[Neighborhood Name]]&amp; " | " &amp;Cleandata_table3[[#This Row],[Neighborhood Subtype]]</f>
        <v>Madison-Miller | Residential Urban Village</v>
      </c>
      <c r="AV76" t="s">
        <v>107</v>
      </c>
    </row>
    <row r="77" spans="1:48" x14ac:dyDescent="0.35">
      <c r="A77" t="s">
        <v>196</v>
      </c>
      <c r="B77" t="s">
        <v>181</v>
      </c>
      <c r="C77" t="s">
        <v>192</v>
      </c>
      <c r="D77" s="12">
        <v>4585</v>
      </c>
      <c r="E77" s="12">
        <v>1189</v>
      </c>
      <c r="F77" s="12">
        <v>3396</v>
      </c>
      <c r="G77" s="12">
        <v>150</v>
      </c>
      <c r="H77" s="12">
        <v>5355</v>
      </c>
      <c r="I77" s="12">
        <v>144</v>
      </c>
      <c r="J77" s="12">
        <v>574</v>
      </c>
      <c r="K77" s="12">
        <v>231</v>
      </c>
      <c r="L77" s="12">
        <v>108</v>
      </c>
      <c r="M77" s="12">
        <v>164</v>
      </c>
      <c r="N77" s="12">
        <v>60</v>
      </c>
      <c r="O77" s="12">
        <v>4074</v>
      </c>
      <c r="P77" s="12">
        <v>896</v>
      </c>
      <c r="Q77" s="12">
        <v>55</v>
      </c>
      <c r="R77" s="12">
        <v>40</v>
      </c>
      <c r="S77" s="12">
        <v>0</v>
      </c>
      <c r="T77" s="12">
        <v>0</v>
      </c>
      <c r="U77" s="12">
        <v>15</v>
      </c>
      <c r="V77" s="12">
        <v>3721</v>
      </c>
      <c r="W77" s="12">
        <v>463</v>
      </c>
      <c r="X77" s="12">
        <v>3123</v>
      </c>
      <c r="Y77" s="12">
        <v>211</v>
      </c>
      <c r="Z77" s="12">
        <v>1281</v>
      </c>
      <c r="AA77" s="12">
        <v>3273</v>
      </c>
      <c r="AB77" s="12">
        <v>267</v>
      </c>
      <c r="AC77" s="12">
        <v>448</v>
      </c>
      <c r="AD77" s="12">
        <v>196</v>
      </c>
      <c r="AE77" s="12">
        <v>150</v>
      </c>
      <c r="AF77" s="12">
        <v>56</v>
      </c>
      <c r="AG77" s="8">
        <f>IFERROR(Cleandata_table3[[#This Row],[Population 20 to 64 years below poverty]]/Cleandata_table3[[#This Row],[Population 20 to 64 years for whom poverty status is determined]],"")</f>
        <v>0.12442891695780704</v>
      </c>
      <c r="AH77" s="8">
        <f>IFERROR(Cleandata_table3[[#This Row],[Population 20 to 64 years unemployed]]/Cleandata_table3[[#This Row],[Population 20 to 64 years in civilian labor force]],"")</f>
        <v>4.5829514207149404E-2</v>
      </c>
      <c r="AI77" s="8">
        <f>IFERROR(Cleandata_table3[[#This Row],[Population 20 to 64 years in civilian labor force]]/Cleandata_table3[[#This Row],[Population 20 to 64 years for whom poverty status is determined]],"")</f>
        <v>0.87960225745767262</v>
      </c>
      <c r="AJ77" s="10">
        <f>IFERROR(Cleandata_table3[[#This Row],[Families with income in the past 12 months below poverty level]]/Cleandata_table3[[#This Row],[Families for whom poverty status is determined]],"")</f>
        <v>6.1383928571428568E-2</v>
      </c>
      <c r="AK77" s="8">
        <f>IFERROR(Cleandata_table3[[#This Row],[Population 20 to 64 years employed]]/Cleandata_table3[[#This Row],[Population 20 to 64 years for whom poverty status is determined]],"")</f>
        <v>0.83929051330287552</v>
      </c>
      <c r="AL77" s="8">
        <f>IFERROR(Cleandata_table3[[#This Row],[Population 20 to 64 years not in labor force]]/Cleandata_table3[[#This Row],[Population 20 to 64 years for whom poverty status is determined]],"")</f>
        <v>0.12039774254232734</v>
      </c>
      <c r="AM77" s="10">
        <f>IFERROR(Cleandata_table3[[#This Row],[Married-couple family with related children of the householder under 18 years below poverty]]/Cleandata_table3[[#This Row],[Families for whom poverty status is determined]],"")</f>
        <v>4.4642857142857144E-2</v>
      </c>
      <c r="AN77" s="10">
        <f>IFERROR(Cleandata_table3[[#This Row],[Married-couple family without related children of the householder under 18 years below poverty]]/Cleandata_table3[[#This Row],[Families for whom poverty status is determined]],"")</f>
        <v>0</v>
      </c>
      <c r="AO77" s="10">
        <f>IFERROR(Cleandata_table3[[#This Row],[Single parents with related children of the householder under 18 years below poverty]]/Cleandata_table3[[#This Row],[Families for whom poverty status is determined]],"")</f>
        <v>0</v>
      </c>
      <c r="AP77" s="10">
        <f>IFERROR(Cleandata_table3[[#This Row],[Other family below poverty]]/Cleandata_table3[[#This Row],[Families for whom poverty status is determined]],"")</f>
        <v>1.6741071428571428E-2</v>
      </c>
      <c r="AQ77" s="6">
        <f>IFERROR(Cleandata_table3[[#This Row],[Population 16 years and over in civilian labor force unemployed]]/Cleandata_table3[[#This Row],[Population 16 years and over in civilian labor force]],"")</f>
        <v>4.4169611307420496E-2</v>
      </c>
      <c r="AR77" s="6">
        <f>IFERROR((Cleandata_table3[[#This Row],[Population 16 years and over in civilian labor force]]-Cleandata_table3[[#This Row],[Population 16 years and over in civilian labor force unemployed]])/Cleandata_table3[[#This Row],[Population 16 years and over]],"")</f>
        <v>0.70796074154852784</v>
      </c>
      <c r="AS77" s="6">
        <f>IFERROR(Cleandata_table3[[#This Row],[Population 16 years and over in civilian labor force]]/Cleandata_table3[[#This Row],[Population 16 years and over]],"")</f>
        <v>0.74067611777535447</v>
      </c>
      <c r="AT77" s="6">
        <f>IFERROR(Cleandata_table3[[#This Row],[Population 16 years and over not in labor force]]/Cleandata_table3[[#This Row],[Population 16 years and over]],"")</f>
        <v>0.25932388222464559</v>
      </c>
      <c r="AU77" t="str">
        <f>Cleandata_table3[[#This Row],[Neighborhood Name]]&amp; " | " &amp;Cleandata_table3[[#This Row],[Neighborhood Subtype]]</f>
        <v>Lake City | Hub Urban Village</v>
      </c>
      <c r="AV77" t="s">
        <v>107</v>
      </c>
    </row>
    <row r="78" spans="1:48" x14ac:dyDescent="0.35">
      <c r="A78" t="s">
        <v>197</v>
      </c>
      <c r="B78" t="s">
        <v>181</v>
      </c>
      <c r="C78" t="s">
        <v>183</v>
      </c>
      <c r="D78" s="12">
        <v>4080</v>
      </c>
      <c r="E78" s="12">
        <v>627</v>
      </c>
      <c r="F78" s="12">
        <v>3453</v>
      </c>
      <c r="G78" s="12">
        <v>95</v>
      </c>
      <c r="H78" s="12">
        <v>4377</v>
      </c>
      <c r="I78" s="12">
        <v>147</v>
      </c>
      <c r="J78" s="12">
        <v>208</v>
      </c>
      <c r="K78" s="12">
        <v>64</v>
      </c>
      <c r="L78" s="12">
        <v>216</v>
      </c>
      <c r="M78" s="12">
        <v>105</v>
      </c>
      <c r="N78" s="12">
        <v>8</v>
      </c>
      <c r="O78" s="12">
        <v>3629</v>
      </c>
      <c r="P78" s="12">
        <v>617</v>
      </c>
      <c r="Q78" s="12">
        <v>0</v>
      </c>
      <c r="R78" s="12">
        <v>0</v>
      </c>
      <c r="S78" s="12">
        <v>0</v>
      </c>
      <c r="T78" s="12">
        <v>0</v>
      </c>
      <c r="U78" s="12">
        <v>0</v>
      </c>
      <c r="V78" s="12">
        <v>3652</v>
      </c>
      <c r="W78" s="12">
        <v>355</v>
      </c>
      <c r="X78" s="12">
        <v>3267</v>
      </c>
      <c r="Y78" s="12">
        <v>206</v>
      </c>
      <c r="Z78" s="12">
        <v>748</v>
      </c>
      <c r="AA78" s="12">
        <v>3351</v>
      </c>
      <c r="AB78" s="12">
        <v>206</v>
      </c>
      <c r="AC78" s="12">
        <v>301</v>
      </c>
      <c r="AD78" s="12">
        <v>149</v>
      </c>
      <c r="AE78" s="12">
        <v>84</v>
      </c>
      <c r="AF78" s="12">
        <v>0</v>
      </c>
      <c r="AG78" s="8">
        <f>IFERROR(Cleandata_table3[[#This Row],[Population 20 to 64 years below poverty]]/Cleandata_table3[[#This Row],[Population 20 to 64 years for whom poverty status is determined]],"")</f>
        <v>9.720700985761227E-2</v>
      </c>
      <c r="AH78" s="8">
        <f>IFERROR(Cleandata_table3[[#This Row],[Population 20 to 64 years unemployed]]/Cleandata_table3[[#This Row],[Population 20 to 64 years in civilian labor force]],"")</f>
        <v>2.5067144136078783E-2</v>
      </c>
      <c r="AI78" s="8">
        <f>IFERROR(Cleandata_table3[[#This Row],[Population 20 to 64 years in civilian labor force]]/Cleandata_table3[[#This Row],[Population 20 to 64 years for whom poverty status is determined]],"")</f>
        <v>0.91757940854326392</v>
      </c>
      <c r="AJ78" s="10">
        <f>IFERROR(Cleandata_table3[[#This Row],[Families with income in the past 12 months below poverty level]]/Cleandata_table3[[#This Row],[Families for whom poverty status is determined]],"")</f>
        <v>0</v>
      </c>
      <c r="AK78" s="8">
        <f>IFERROR(Cleandata_table3[[#This Row],[Population 20 to 64 years employed]]/Cleandata_table3[[#This Row],[Population 20 to 64 years for whom poverty status is determined]],"")</f>
        <v>0.89457831325301207</v>
      </c>
      <c r="AL78" s="8">
        <f>IFERROR(Cleandata_table3[[#This Row],[Population 20 to 64 years not in labor force]]/Cleandata_table3[[#This Row],[Population 20 to 64 years for whom poverty status is determined]],"")</f>
        <v>8.2420591456736039E-2</v>
      </c>
      <c r="AM78" s="10">
        <f>IFERROR(Cleandata_table3[[#This Row],[Married-couple family with related children of the householder under 18 years below poverty]]/Cleandata_table3[[#This Row],[Families for whom poverty status is determined]],"")</f>
        <v>0</v>
      </c>
      <c r="AN78" s="10">
        <f>IFERROR(Cleandata_table3[[#This Row],[Married-couple family without related children of the householder under 18 years below poverty]]/Cleandata_table3[[#This Row],[Families for whom poverty status is determined]],"")</f>
        <v>0</v>
      </c>
      <c r="AO78" s="10">
        <f>IFERROR(Cleandata_table3[[#This Row],[Single parents with related children of the householder under 18 years below poverty]]/Cleandata_table3[[#This Row],[Families for whom poverty status is determined]],"")</f>
        <v>0</v>
      </c>
      <c r="AP78" s="10">
        <f>IFERROR(Cleandata_table3[[#This Row],[Other family below poverty]]/Cleandata_table3[[#This Row],[Families for whom poverty status is determined]],"")</f>
        <v>0</v>
      </c>
      <c r="AQ78" s="6">
        <f>IFERROR(Cleandata_table3[[#This Row],[Population 16 years and over in civilian labor force unemployed]]/Cleandata_table3[[#This Row],[Population 16 years and over in civilian labor force]],"")</f>
        <v>2.7512308137851143E-2</v>
      </c>
      <c r="AR78" s="6">
        <f>IFERROR((Cleandata_table3[[#This Row],[Population 16 years and over in civilian labor force]]-Cleandata_table3[[#This Row],[Population 16 years and over in civilian labor force unemployed]])/Cleandata_table3[[#This Row],[Population 16 years and over]],"")</f>
        <v>0.82303921568627447</v>
      </c>
      <c r="AS78" s="6">
        <f>IFERROR(Cleandata_table3[[#This Row],[Population 16 years and over in civilian labor force]]/Cleandata_table3[[#This Row],[Population 16 years and over]],"")</f>
        <v>0.8463235294117647</v>
      </c>
      <c r="AT78" s="6">
        <f>IFERROR(Cleandata_table3[[#This Row],[Population 16 years and over not in labor force]]/Cleandata_table3[[#This Row],[Population 16 years and over]],"")</f>
        <v>0.1536764705882353</v>
      </c>
      <c r="AU78" t="str">
        <f>Cleandata_table3[[#This Row],[Neighborhood Name]]&amp; " | " &amp;Cleandata_table3[[#This Row],[Neighborhood Subtype]]</f>
        <v>Roosevelt | Residential Urban Village</v>
      </c>
      <c r="AV78" t="s">
        <v>107</v>
      </c>
    </row>
    <row r="79" spans="1:48" x14ac:dyDescent="0.35">
      <c r="A79" t="s">
        <v>121</v>
      </c>
      <c r="B79" t="s">
        <v>181</v>
      </c>
      <c r="C79" t="s">
        <v>183</v>
      </c>
      <c r="D79" s="12">
        <v>6336</v>
      </c>
      <c r="E79" s="12">
        <v>1198</v>
      </c>
      <c r="F79" s="12">
        <v>5138</v>
      </c>
      <c r="G79" s="12">
        <v>223</v>
      </c>
      <c r="H79" s="12">
        <v>7424</v>
      </c>
      <c r="I79" s="12">
        <v>287</v>
      </c>
      <c r="J79" s="12">
        <v>251</v>
      </c>
      <c r="K79" s="12">
        <v>96</v>
      </c>
      <c r="L79" s="12">
        <v>268</v>
      </c>
      <c r="M79" s="12">
        <v>271</v>
      </c>
      <c r="N79" s="12">
        <v>65</v>
      </c>
      <c r="O79" s="12">
        <v>6186</v>
      </c>
      <c r="P79" s="12">
        <v>1340</v>
      </c>
      <c r="Q79" s="12">
        <v>23</v>
      </c>
      <c r="R79" s="12">
        <v>1</v>
      </c>
      <c r="S79" s="12">
        <v>9</v>
      </c>
      <c r="T79" s="12">
        <v>13</v>
      </c>
      <c r="U79" s="12">
        <v>0</v>
      </c>
      <c r="V79" s="12">
        <v>5527</v>
      </c>
      <c r="W79" s="12">
        <v>450</v>
      </c>
      <c r="X79" s="12">
        <v>4750</v>
      </c>
      <c r="Y79" s="12">
        <v>275</v>
      </c>
      <c r="Z79" s="12">
        <v>1238</v>
      </c>
      <c r="AA79" s="12">
        <v>4891</v>
      </c>
      <c r="AB79" s="12">
        <v>275</v>
      </c>
      <c r="AC79" s="12">
        <v>636</v>
      </c>
      <c r="AD79" s="12">
        <v>175</v>
      </c>
      <c r="AE79" s="12">
        <v>141</v>
      </c>
      <c r="AF79" s="12">
        <v>0</v>
      </c>
      <c r="AG79" s="8">
        <f>IFERROR(Cleandata_table3[[#This Row],[Population 20 to 64 years below poverty]]/Cleandata_table3[[#This Row],[Population 20 to 64 years for whom poverty status is determined]],"")</f>
        <v>8.1418491043965979E-2</v>
      </c>
      <c r="AH79" s="8">
        <f>IFERROR(Cleandata_table3[[#This Row],[Population 20 to 64 years unemployed]]/Cleandata_table3[[#This Row],[Population 20 to 64 years in civilian labor force]],"")</f>
        <v>2.8828460437538336E-2</v>
      </c>
      <c r="AI79" s="8">
        <f>IFERROR(Cleandata_table3[[#This Row],[Population 20 to 64 years in civilian labor force]]/Cleandata_table3[[#This Row],[Population 20 to 64 years for whom poverty status is determined]],"")</f>
        <v>0.88492853265786142</v>
      </c>
      <c r="AJ79" s="10">
        <f>IFERROR(Cleandata_table3[[#This Row],[Families with income in the past 12 months below poverty level]]/Cleandata_table3[[#This Row],[Families for whom poverty status is determined]],"")</f>
        <v>1.7164179104477612E-2</v>
      </c>
      <c r="AK79" s="8">
        <f>IFERROR(Cleandata_table3[[#This Row],[Population 20 to 64 years employed]]/Cleandata_table3[[#This Row],[Population 20 to 64 years for whom poverty status is determined]],"")</f>
        <v>0.8594174054640854</v>
      </c>
      <c r="AL79" s="8">
        <f>IFERROR(Cleandata_table3[[#This Row],[Population 20 to 64 years not in labor force]]/Cleandata_table3[[#This Row],[Population 20 to 64 years for whom poverty status is determined]],"")</f>
        <v>0.11507146734213859</v>
      </c>
      <c r="AM79" s="10">
        <f>IFERROR(Cleandata_table3[[#This Row],[Married-couple family with related children of the householder under 18 years below poverty]]/Cleandata_table3[[#This Row],[Families for whom poverty status is determined]],"")</f>
        <v>7.4626865671641792E-4</v>
      </c>
      <c r="AN79" s="10">
        <f>IFERROR(Cleandata_table3[[#This Row],[Married-couple family without related children of the householder under 18 years below poverty]]/Cleandata_table3[[#This Row],[Families for whom poverty status is determined]],"")</f>
        <v>6.7164179104477612E-3</v>
      </c>
      <c r="AO79" s="10">
        <f>IFERROR(Cleandata_table3[[#This Row],[Single parents with related children of the householder under 18 years below poverty]]/Cleandata_table3[[#This Row],[Families for whom poverty status is determined]],"")</f>
        <v>9.7014925373134324E-3</v>
      </c>
      <c r="AP79" s="10">
        <f>IFERROR(Cleandata_table3[[#This Row],[Other family below poverty]]/Cleandata_table3[[#This Row],[Families for whom poverty status is determined]],"")</f>
        <v>0</v>
      </c>
      <c r="AQ79" s="6">
        <f>IFERROR(Cleandata_table3[[#This Row],[Population 16 years and over in civilian labor force unemployed]]/Cleandata_table3[[#This Row],[Population 16 years and over in civilian labor force]],"")</f>
        <v>4.3402101985208254E-2</v>
      </c>
      <c r="AR79" s="6">
        <f>IFERROR((Cleandata_table3[[#This Row],[Population 16 years and over in civilian labor force]]-Cleandata_table3[[#This Row],[Population 16 years and over in civilian labor force unemployed]])/Cleandata_table3[[#This Row],[Population 16 years and over]],"")</f>
        <v>0.77572601010101006</v>
      </c>
      <c r="AS79" s="6">
        <f>IFERROR(Cleandata_table3[[#This Row],[Population 16 years and over in civilian labor force]]/Cleandata_table3[[#This Row],[Population 16 years and over]],"")</f>
        <v>0.81092171717171713</v>
      </c>
      <c r="AT79" s="6">
        <f>IFERROR(Cleandata_table3[[#This Row],[Population 16 years and over not in labor force]]/Cleandata_table3[[#This Row],[Population 16 years and over]],"")</f>
        <v>0.18907828282828282</v>
      </c>
      <c r="AU79" t="str">
        <f>Cleandata_table3[[#This Row],[Neighborhood Name]]&amp; " | " &amp;Cleandata_table3[[#This Row],[Neighborhood Subtype]]</f>
        <v>Wallingford | Residential Urban Village</v>
      </c>
      <c r="AV79" t="s">
        <v>107</v>
      </c>
    </row>
    <row r="80" spans="1:48" x14ac:dyDescent="0.35">
      <c r="A80" t="s">
        <v>158</v>
      </c>
      <c r="B80" t="s">
        <v>181</v>
      </c>
      <c r="C80" t="s">
        <v>183</v>
      </c>
      <c r="D80" s="12">
        <v>4911</v>
      </c>
      <c r="E80" s="12">
        <v>1485</v>
      </c>
      <c r="F80" s="12">
        <v>3403</v>
      </c>
      <c r="G80" s="12">
        <v>264</v>
      </c>
      <c r="H80" s="12">
        <v>6428</v>
      </c>
      <c r="I80" s="12">
        <v>943</v>
      </c>
      <c r="J80" s="12">
        <v>508</v>
      </c>
      <c r="K80" s="12">
        <v>547</v>
      </c>
      <c r="L80" s="12">
        <v>189</v>
      </c>
      <c r="M80" s="12">
        <v>139</v>
      </c>
      <c r="N80" s="12">
        <v>34</v>
      </c>
      <c r="O80" s="12">
        <v>4068</v>
      </c>
      <c r="P80" s="12">
        <v>1411</v>
      </c>
      <c r="Q80" s="12">
        <v>226</v>
      </c>
      <c r="R80" s="12">
        <v>18</v>
      </c>
      <c r="S80" s="12">
        <v>0</v>
      </c>
      <c r="T80" s="12">
        <v>208</v>
      </c>
      <c r="U80" s="12">
        <v>0</v>
      </c>
      <c r="V80" s="12">
        <v>3858</v>
      </c>
      <c r="W80" s="12">
        <v>703</v>
      </c>
      <c r="X80" s="12">
        <v>2685</v>
      </c>
      <c r="Y80" s="12">
        <v>129</v>
      </c>
      <c r="Z80" s="12">
        <v>2360</v>
      </c>
      <c r="AA80" s="12">
        <v>2940</v>
      </c>
      <c r="AB80" s="12">
        <v>311</v>
      </c>
      <c r="AC80" s="12">
        <v>895</v>
      </c>
      <c r="AD80" s="12">
        <v>369</v>
      </c>
      <c r="AE80" s="12">
        <v>255</v>
      </c>
      <c r="AF80" s="12">
        <v>182</v>
      </c>
      <c r="AG80" s="8">
        <f>IFERROR(Cleandata_table3[[#This Row],[Population 20 to 64 years below poverty]]/Cleandata_table3[[#This Row],[Population 20 to 64 years for whom poverty status is determined]],"")</f>
        <v>0.18221876620010369</v>
      </c>
      <c r="AH80" s="8">
        <f>IFERROR(Cleandata_table3[[#This Row],[Population 20 to 64 years unemployed]]/Cleandata_table3[[#This Row],[Population 20 to 64 years in civilian labor force]],"")</f>
        <v>8.673469387755102E-2</v>
      </c>
      <c r="AI80" s="8">
        <f>IFERROR(Cleandata_table3[[#This Row],[Population 20 to 64 years in civilian labor force]]/Cleandata_table3[[#This Row],[Population 20 to 64 years for whom poverty status is determined]],"")</f>
        <v>0.76205287713841363</v>
      </c>
      <c r="AJ80" s="10">
        <f>IFERROR(Cleandata_table3[[#This Row],[Families with income in the past 12 months below poverty level]]/Cleandata_table3[[#This Row],[Families for whom poverty status is determined]],"")</f>
        <v>0.16017009213323885</v>
      </c>
      <c r="AK80" s="8">
        <f>IFERROR(Cleandata_table3[[#This Row],[Population 20 to 64 years employed]]/Cleandata_table3[[#This Row],[Population 20 to 64 years for whom poverty status is determined]],"")</f>
        <v>0.69595645412130636</v>
      </c>
      <c r="AL80" s="8">
        <f>IFERROR(Cleandata_table3[[#This Row],[Population 20 to 64 years not in labor force]]/Cleandata_table3[[#This Row],[Population 20 to 64 years for whom poverty status is determined]],"")</f>
        <v>0.23198548470710212</v>
      </c>
      <c r="AM80" s="10">
        <f>IFERROR(Cleandata_table3[[#This Row],[Married-couple family with related children of the householder under 18 years below poverty]]/Cleandata_table3[[#This Row],[Families for whom poverty status is determined]],"")</f>
        <v>1.2756909992912827E-2</v>
      </c>
      <c r="AN80" s="10">
        <f>IFERROR(Cleandata_table3[[#This Row],[Married-couple family without related children of the householder under 18 years below poverty]]/Cleandata_table3[[#This Row],[Families for whom poverty status is determined]],"")</f>
        <v>0</v>
      </c>
      <c r="AO80" s="10">
        <f>IFERROR(Cleandata_table3[[#This Row],[Single parents with related children of the householder under 18 years below poverty]]/Cleandata_table3[[#This Row],[Families for whom poverty status is determined]],"")</f>
        <v>0.147413182140326</v>
      </c>
      <c r="AP80" s="10">
        <f>IFERROR(Cleandata_table3[[#This Row],[Other family below poverty]]/Cleandata_table3[[#This Row],[Families for whom poverty status is determined]],"")</f>
        <v>0</v>
      </c>
      <c r="AQ80" s="6">
        <f>IFERROR(Cleandata_table3[[#This Row],[Population 16 years and over in civilian labor force unemployed]]/Cleandata_table3[[#This Row],[Population 16 years and over in civilian labor force]],"")</f>
        <v>7.7578607111372322E-2</v>
      </c>
      <c r="AR80" s="6">
        <f>IFERROR((Cleandata_table3[[#This Row],[Population 16 years and over in civilian labor force]]-Cleandata_table3[[#This Row],[Population 16 years and over in civilian labor force unemployed]])/Cleandata_table3[[#This Row],[Population 16 years and over]],"")</f>
        <v>0.6391773569537772</v>
      </c>
      <c r="AS80" s="6">
        <f>IFERROR(Cleandata_table3[[#This Row],[Population 16 years and over in civilian labor force]]/Cleandata_table3[[#This Row],[Population 16 years and over]],"")</f>
        <v>0.6929342292812054</v>
      </c>
      <c r="AT80" s="6">
        <f>IFERROR(Cleandata_table3[[#This Row],[Population 16 years and over not in labor force]]/Cleandata_table3[[#This Row],[Population 16 years and over]],"")</f>
        <v>0.30238240684178375</v>
      </c>
      <c r="AU80" t="str">
        <f>Cleandata_table3[[#This Row],[Neighborhood Name]]&amp; " | " &amp;Cleandata_table3[[#This Row],[Neighborhood Subtype]]</f>
        <v>Rainier Beach | Residential Urban Village</v>
      </c>
      <c r="AV80" t="s">
        <v>107</v>
      </c>
    </row>
    <row r="81" spans="1:48" x14ac:dyDescent="0.35">
      <c r="A81" t="s">
        <v>198</v>
      </c>
      <c r="B81" t="s">
        <v>181</v>
      </c>
      <c r="C81" t="s">
        <v>192</v>
      </c>
      <c r="D81" s="12">
        <v>8337</v>
      </c>
      <c r="E81" s="12">
        <v>1598</v>
      </c>
      <c r="F81" s="12">
        <v>6675</v>
      </c>
      <c r="G81" s="12">
        <v>212</v>
      </c>
      <c r="H81" s="12">
        <v>8950</v>
      </c>
      <c r="I81" s="12">
        <v>452</v>
      </c>
      <c r="J81" s="12">
        <v>447</v>
      </c>
      <c r="K81" s="12">
        <v>230</v>
      </c>
      <c r="L81" s="12">
        <v>78</v>
      </c>
      <c r="M81" s="12">
        <v>249</v>
      </c>
      <c r="N81" s="12">
        <v>82</v>
      </c>
      <c r="O81" s="12">
        <v>7412</v>
      </c>
      <c r="P81" s="12">
        <v>1686</v>
      </c>
      <c r="Q81" s="12">
        <v>65</v>
      </c>
      <c r="R81" s="12">
        <v>45</v>
      </c>
      <c r="S81" s="12">
        <v>20</v>
      </c>
      <c r="T81" s="12">
        <v>0</v>
      </c>
      <c r="U81" s="12">
        <v>0</v>
      </c>
      <c r="V81" s="12">
        <v>7216</v>
      </c>
      <c r="W81" s="12">
        <v>736</v>
      </c>
      <c r="X81" s="12">
        <v>6283</v>
      </c>
      <c r="Y81" s="12">
        <v>423</v>
      </c>
      <c r="Z81" s="12">
        <v>1538</v>
      </c>
      <c r="AA81" s="12">
        <v>6479</v>
      </c>
      <c r="AB81" s="12">
        <v>482</v>
      </c>
      <c r="AC81" s="12">
        <v>673</v>
      </c>
      <c r="AD81" s="12">
        <v>254</v>
      </c>
      <c r="AE81" s="12">
        <v>196</v>
      </c>
      <c r="AF81" s="12">
        <v>59</v>
      </c>
      <c r="AG81" s="8">
        <f>IFERROR(Cleandata_table3[[#This Row],[Population 20 to 64 years below poverty]]/Cleandata_table3[[#This Row],[Population 20 to 64 years for whom poverty status is determined]],"")</f>
        <v>0.10199556541019955</v>
      </c>
      <c r="AH81" s="8">
        <f>IFERROR(Cleandata_table3[[#This Row],[Population 20 to 64 years unemployed]]/Cleandata_table3[[#This Row],[Population 20 to 64 years in civilian labor force]],"")</f>
        <v>3.0251582034264549E-2</v>
      </c>
      <c r="AI81" s="8">
        <f>IFERROR(Cleandata_table3[[#This Row],[Population 20 to 64 years in civilian labor force]]/Cleandata_table3[[#This Row],[Population 20 to 64 years for whom poverty status is determined]],"")</f>
        <v>0.89786585365853655</v>
      </c>
      <c r="AJ81" s="10">
        <f>IFERROR(Cleandata_table3[[#This Row],[Families with income in the past 12 months below poverty level]]/Cleandata_table3[[#This Row],[Families for whom poverty status is determined]],"")</f>
        <v>3.8552787663107949E-2</v>
      </c>
      <c r="AK81" s="8">
        <f>IFERROR(Cleandata_table3[[#This Row],[Population 20 to 64 years employed]]/Cleandata_table3[[#This Row],[Population 20 to 64 years for whom poverty status is determined]],"")</f>
        <v>0.87070399113082042</v>
      </c>
      <c r="AL81" s="8">
        <f>IFERROR(Cleandata_table3[[#This Row],[Population 20 to 64 years not in labor force]]/Cleandata_table3[[#This Row],[Population 20 to 64 years for whom poverty status is determined]],"")</f>
        <v>9.3264966740576494E-2</v>
      </c>
      <c r="AM81" s="10">
        <f>IFERROR(Cleandata_table3[[#This Row],[Married-couple family with related children of the householder under 18 years below poverty]]/Cleandata_table3[[#This Row],[Families for whom poverty status is determined]],"")</f>
        <v>2.6690391459074734E-2</v>
      </c>
      <c r="AN81" s="10">
        <f>IFERROR(Cleandata_table3[[#This Row],[Married-couple family without related children of the householder under 18 years below poverty]]/Cleandata_table3[[#This Row],[Families for whom poverty status is determined]],"")</f>
        <v>1.1862396204033215E-2</v>
      </c>
      <c r="AO81" s="10">
        <f>IFERROR(Cleandata_table3[[#This Row],[Single parents with related children of the householder under 18 years below poverty]]/Cleandata_table3[[#This Row],[Families for whom poverty status is determined]],"")</f>
        <v>0</v>
      </c>
      <c r="AP81" s="10">
        <f>IFERROR(Cleandata_table3[[#This Row],[Other family below poverty]]/Cleandata_table3[[#This Row],[Families for whom poverty status is determined]],"")</f>
        <v>0</v>
      </c>
      <c r="AQ81" s="6">
        <f>IFERROR(Cleandata_table3[[#This Row],[Population 16 years and over in civilian labor force unemployed]]/Cleandata_table3[[#This Row],[Population 16 years and over in civilian labor force]],"")</f>
        <v>3.1760299625468162E-2</v>
      </c>
      <c r="AR81" s="6">
        <f>IFERROR((Cleandata_table3[[#This Row],[Population 16 years and over in civilian labor force]]-Cleandata_table3[[#This Row],[Population 16 years and over in civilian labor force unemployed]])/Cleandata_table3[[#This Row],[Population 16 years and over]],"")</f>
        <v>0.77521890368237978</v>
      </c>
      <c r="AS81" s="6">
        <f>IFERROR(Cleandata_table3[[#This Row],[Population 16 years and over in civilian labor force]]/Cleandata_table3[[#This Row],[Population 16 years and over]],"")</f>
        <v>0.80064771500539766</v>
      </c>
      <c r="AT81" s="6">
        <f>IFERROR(Cleandata_table3[[#This Row],[Population 16 years and over not in labor force]]/Cleandata_table3[[#This Row],[Population 16 years and over]],"")</f>
        <v>0.1916756627084083</v>
      </c>
      <c r="AU81" t="str">
        <f>Cleandata_table3[[#This Row],[Neighborhood Name]]&amp; " | " &amp;Cleandata_table3[[#This Row],[Neighborhood Subtype]]</f>
        <v>West Seattle Junction | Hub Urban Village</v>
      </c>
      <c r="AV81" t="s">
        <v>107</v>
      </c>
    </row>
    <row r="82" spans="1:48" x14ac:dyDescent="0.35">
      <c r="A82" t="s">
        <v>199</v>
      </c>
      <c r="B82" t="s">
        <v>181</v>
      </c>
      <c r="C82" t="s">
        <v>183</v>
      </c>
      <c r="D82" s="12">
        <v>4174</v>
      </c>
      <c r="E82" s="12">
        <v>891</v>
      </c>
      <c r="F82" s="12">
        <v>3283</v>
      </c>
      <c r="G82" s="12">
        <v>157</v>
      </c>
      <c r="H82" s="12">
        <v>4907</v>
      </c>
      <c r="I82" s="12">
        <v>71</v>
      </c>
      <c r="J82" s="12">
        <v>337</v>
      </c>
      <c r="K82" s="12">
        <v>48</v>
      </c>
      <c r="L82" s="12">
        <v>135</v>
      </c>
      <c r="M82" s="12">
        <v>81</v>
      </c>
      <c r="N82" s="12">
        <v>0</v>
      </c>
      <c r="O82" s="12">
        <v>4235</v>
      </c>
      <c r="P82" s="12">
        <v>1163</v>
      </c>
      <c r="Q82" s="12">
        <v>0</v>
      </c>
      <c r="R82" s="12">
        <v>0</v>
      </c>
      <c r="S82" s="12">
        <v>0</v>
      </c>
      <c r="T82" s="12">
        <v>0</v>
      </c>
      <c r="U82" s="12">
        <v>0</v>
      </c>
      <c r="V82" s="12">
        <v>3476</v>
      </c>
      <c r="W82" s="12">
        <v>366</v>
      </c>
      <c r="X82" s="12">
        <v>2958</v>
      </c>
      <c r="Y82" s="12">
        <v>179</v>
      </c>
      <c r="Z82" s="12">
        <v>672</v>
      </c>
      <c r="AA82" s="12">
        <v>3097</v>
      </c>
      <c r="AB82" s="12">
        <v>278</v>
      </c>
      <c r="AC82" s="12">
        <v>379</v>
      </c>
      <c r="AD82" s="12">
        <v>88</v>
      </c>
      <c r="AE82" s="12">
        <v>139</v>
      </c>
      <c r="AF82" s="12">
        <v>99</v>
      </c>
      <c r="AG82" s="8">
        <f>IFERROR(Cleandata_table3[[#This Row],[Population 20 to 64 years below poverty]]/Cleandata_table3[[#This Row],[Population 20 to 64 years for whom poverty status is determined]],"")</f>
        <v>0.10529344073647871</v>
      </c>
      <c r="AH82" s="8">
        <f>IFERROR(Cleandata_table3[[#This Row],[Population 20 to 64 years unemployed]]/Cleandata_table3[[#This Row],[Population 20 to 64 years in civilian labor force]],"")</f>
        <v>4.4882144010332581E-2</v>
      </c>
      <c r="AI82" s="8">
        <f>IFERROR(Cleandata_table3[[#This Row],[Population 20 to 64 years in civilian labor force]]/Cleandata_table3[[#This Row],[Population 20 to 64 years for whom poverty status is determined]],"")</f>
        <v>0.89096662830840045</v>
      </c>
      <c r="AJ82" s="10">
        <f>IFERROR(Cleandata_table3[[#This Row],[Families with income in the past 12 months below poverty level]]/Cleandata_table3[[#This Row],[Families for whom poverty status is determined]],"")</f>
        <v>0</v>
      </c>
      <c r="AK82" s="8">
        <f>IFERROR(Cleandata_table3[[#This Row],[Population 20 to 64 years employed]]/Cleandata_table3[[#This Row],[Population 20 to 64 years for whom poverty status is determined]],"")</f>
        <v>0.85097813578826242</v>
      </c>
      <c r="AL82" s="8">
        <f>IFERROR(Cleandata_table3[[#This Row],[Population 20 to 64 years not in labor force]]/Cleandata_table3[[#This Row],[Population 20 to 64 years for whom poverty status is determined]],"")</f>
        <v>0.10903337169159955</v>
      </c>
      <c r="AM82" s="10">
        <f>IFERROR(Cleandata_table3[[#This Row],[Married-couple family with related children of the householder under 18 years below poverty]]/Cleandata_table3[[#This Row],[Families for whom poverty status is determined]],"")</f>
        <v>0</v>
      </c>
      <c r="AN82" s="10">
        <f>IFERROR(Cleandata_table3[[#This Row],[Married-couple family without related children of the householder under 18 years below poverty]]/Cleandata_table3[[#This Row],[Families for whom poverty status is determined]],"")</f>
        <v>0</v>
      </c>
      <c r="AO82" s="10">
        <f>IFERROR(Cleandata_table3[[#This Row],[Single parents with related children of the householder under 18 years below poverty]]/Cleandata_table3[[#This Row],[Families for whom poverty status is determined]],"")</f>
        <v>0</v>
      </c>
      <c r="AP82" s="10">
        <f>IFERROR(Cleandata_table3[[#This Row],[Other family below poverty]]/Cleandata_table3[[#This Row],[Families for whom poverty status is determined]],"")</f>
        <v>0</v>
      </c>
      <c r="AQ82" s="6">
        <f>IFERROR(Cleandata_table3[[#This Row],[Population 16 years and over in civilian labor force unemployed]]/Cleandata_table3[[#This Row],[Population 16 years and over in civilian labor force]],"")</f>
        <v>4.7822113920194941E-2</v>
      </c>
      <c r="AR82" s="6">
        <f>IFERROR((Cleandata_table3[[#This Row],[Population 16 years and over in civilian labor force]]-Cleandata_table3[[#This Row],[Population 16 years and over in civilian labor force unemployed]])/Cleandata_table3[[#This Row],[Population 16 years and over]],"")</f>
        <v>0.74892189746046955</v>
      </c>
      <c r="AS82" s="6">
        <f>IFERROR(Cleandata_table3[[#This Row],[Population 16 years and over in civilian labor force]]/Cleandata_table3[[#This Row],[Population 16 years and over]],"")</f>
        <v>0.78653569717297556</v>
      </c>
      <c r="AT82" s="6">
        <f>IFERROR(Cleandata_table3[[#This Row],[Population 16 years and over not in labor force]]/Cleandata_table3[[#This Row],[Population 16 years and over]],"")</f>
        <v>0.21346430282702444</v>
      </c>
      <c r="AU82" t="str">
        <f>Cleandata_table3[[#This Row],[Neighborhood Name]]&amp; " | " &amp;Cleandata_table3[[#This Row],[Neighborhood Subtype]]</f>
        <v>Morgan Junction | Residential Urban Village</v>
      </c>
      <c r="AV82" t="s">
        <v>107</v>
      </c>
    </row>
    <row r="83" spans="1:48" x14ac:dyDescent="0.35">
      <c r="A83" t="s">
        <v>113</v>
      </c>
      <c r="B83" t="s">
        <v>181</v>
      </c>
      <c r="C83" t="s">
        <v>183</v>
      </c>
      <c r="D83" s="12">
        <v>3544</v>
      </c>
      <c r="E83" s="12">
        <v>872</v>
      </c>
      <c r="F83" s="12">
        <v>2672</v>
      </c>
      <c r="G83" s="12">
        <v>120</v>
      </c>
      <c r="H83" s="12">
        <v>3601</v>
      </c>
      <c r="I83" s="12">
        <v>106</v>
      </c>
      <c r="J83" s="12">
        <v>208</v>
      </c>
      <c r="K83" s="12">
        <v>57</v>
      </c>
      <c r="L83" s="12">
        <v>238</v>
      </c>
      <c r="M83" s="12">
        <v>65</v>
      </c>
      <c r="N83" s="12">
        <v>28</v>
      </c>
      <c r="O83" s="12">
        <v>2899</v>
      </c>
      <c r="P83" s="12">
        <v>576</v>
      </c>
      <c r="Q83" s="12">
        <v>38</v>
      </c>
      <c r="R83" s="12">
        <v>0</v>
      </c>
      <c r="S83" s="12">
        <v>0</v>
      </c>
      <c r="T83" s="12">
        <v>19</v>
      </c>
      <c r="U83" s="12">
        <v>19</v>
      </c>
      <c r="V83" s="12">
        <v>2876</v>
      </c>
      <c r="W83" s="12">
        <v>260</v>
      </c>
      <c r="X83" s="12">
        <v>2473</v>
      </c>
      <c r="Y83" s="12">
        <v>45</v>
      </c>
      <c r="Z83" s="12">
        <v>702</v>
      </c>
      <c r="AA83" s="12">
        <v>2593</v>
      </c>
      <c r="AB83" s="12">
        <v>71</v>
      </c>
      <c r="AC83" s="12">
        <v>283</v>
      </c>
      <c r="AD83" s="12">
        <v>189</v>
      </c>
      <c r="AE83" s="12">
        <v>120</v>
      </c>
      <c r="AF83" s="12">
        <v>26</v>
      </c>
      <c r="AG83" s="8">
        <f>IFERROR(Cleandata_table3[[#This Row],[Population 20 to 64 years below poverty]]/Cleandata_table3[[#This Row],[Population 20 to 64 years for whom poverty status is determined]],"")</f>
        <v>9.0403337969401948E-2</v>
      </c>
      <c r="AH83" s="8">
        <f>IFERROR(Cleandata_table3[[#This Row],[Population 20 to 64 years unemployed]]/Cleandata_table3[[#This Row],[Population 20 to 64 years in civilian labor force]],"")</f>
        <v>4.627844195912071E-2</v>
      </c>
      <c r="AI83" s="8">
        <f>IFERROR(Cleandata_table3[[#This Row],[Population 20 to 64 years in civilian labor force]]/Cleandata_table3[[#This Row],[Population 20 to 64 years for whom poverty status is determined]],"")</f>
        <v>0.90159944367176637</v>
      </c>
      <c r="AJ83" s="10">
        <f>IFERROR(Cleandata_table3[[#This Row],[Families with income in the past 12 months below poverty level]]/Cleandata_table3[[#This Row],[Families for whom poverty status is determined]],"")</f>
        <v>6.5972222222222224E-2</v>
      </c>
      <c r="AK83" s="8">
        <f>IFERROR(Cleandata_table3[[#This Row],[Population 20 to 64 years employed]]/Cleandata_table3[[#This Row],[Population 20 to 64 years for whom poverty status is determined]],"")</f>
        <v>0.85987482614742694</v>
      </c>
      <c r="AL83" s="8">
        <f>IFERROR(Cleandata_table3[[#This Row],[Population 20 to 64 years not in labor force]]/Cleandata_table3[[#This Row],[Population 20 to 64 years for whom poverty status is determined]],"")</f>
        <v>9.8400556328233663E-2</v>
      </c>
      <c r="AM83" s="10">
        <f>IFERROR(Cleandata_table3[[#This Row],[Married-couple family with related children of the householder under 18 years below poverty]]/Cleandata_table3[[#This Row],[Families for whom poverty status is determined]],"")</f>
        <v>0</v>
      </c>
      <c r="AN83" s="10">
        <f>IFERROR(Cleandata_table3[[#This Row],[Married-couple family without related children of the householder under 18 years below poverty]]/Cleandata_table3[[#This Row],[Families for whom poverty status is determined]],"")</f>
        <v>0</v>
      </c>
      <c r="AO83" s="10">
        <f>IFERROR(Cleandata_table3[[#This Row],[Single parents with related children of the householder under 18 years below poverty]]/Cleandata_table3[[#This Row],[Families for whom poverty status is determined]],"")</f>
        <v>3.2986111111111112E-2</v>
      </c>
      <c r="AP83" s="10">
        <f>IFERROR(Cleandata_table3[[#This Row],[Other family below poverty]]/Cleandata_table3[[#This Row],[Families for whom poverty status is determined]],"")</f>
        <v>3.2986111111111112E-2</v>
      </c>
      <c r="AQ83" s="6">
        <f>IFERROR(Cleandata_table3[[#This Row],[Population 16 years and over in civilian labor force unemployed]]/Cleandata_table3[[#This Row],[Population 16 years and over in civilian labor force]],"")</f>
        <v>4.4910179640718563E-2</v>
      </c>
      <c r="AR83" s="6">
        <f>IFERROR((Cleandata_table3[[#This Row],[Population 16 years and over in civilian labor force]]-Cleandata_table3[[#This Row],[Population 16 years and over in civilian labor force unemployed]])/Cleandata_table3[[#This Row],[Population 16 years and over]],"")</f>
        <v>0.72009029345372455</v>
      </c>
      <c r="AS83" s="6">
        <f>IFERROR(Cleandata_table3[[#This Row],[Population 16 years and over in civilian labor force]]/Cleandata_table3[[#This Row],[Population 16 years and over]],"")</f>
        <v>0.75395033860045146</v>
      </c>
      <c r="AT83" s="6">
        <f>IFERROR(Cleandata_table3[[#This Row],[Population 16 years and over not in labor force]]/Cleandata_table3[[#This Row],[Population 16 years and over]],"")</f>
        <v>0.24604966139954854</v>
      </c>
      <c r="AU83" t="str">
        <f>Cleandata_table3[[#This Row],[Neighborhood Name]]&amp; " | " &amp;Cleandata_table3[[#This Row],[Neighborhood Subtype]]</f>
        <v>Green Lake | Residential Urban Village</v>
      </c>
      <c r="AV83" t="s">
        <v>107</v>
      </c>
    </row>
    <row r="84" spans="1:48" x14ac:dyDescent="0.35">
      <c r="A84" t="s">
        <v>200</v>
      </c>
      <c r="B84" t="s">
        <v>181</v>
      </c>
      <c r="C84" t="s">
        <v>201</v>
      </c>
      <c r="D84" s="12">
        <v>8534</v>
      </c>
      <c r="E84" s="12">
        <v>2685</v>
      </c>
      <c r="F84" s="12">
        <v>5849</v>
      </c>
      <c r="G84" s="12">
        <v>324</v>
      </c>
      <c r="H84" s="12">
        <v>9532</v>
      </c>
      <c r="I84" s="12">
        <v>994</v>
      </c>
      <c r="J84" s="12">
        <v>622</v>
      </c>
      <c r="K84" s="12">
        <v>493</v>
      </c>
      <c r="L84" s="12">
        <v>205</v>
      </c>
      <c r="M84" s="12">
        <v>154</v>
      </c>
      <c r="N84" s="12">
        <v>181</v>
      </c>
      <c r="O84" s="12">
        <v>6883</v>
      </c>
      <c r="P84" s="12">
        <v>2059</v>
      </c>
      <c r="Q84" s="12">
        <v>421</v>
      </c>
      <c r="R84" s="12">
        <v>12</v>
      </c>
      <c r="S84" s="12">
        <v>140</v>
      </c>
      <c r="T84" s="12">
        <v>152</v>
      </c>
      <c r="U84" s="12">
        <v>117</v>
      </c>
      <c r="V84" s="12">
        <v>6659</v>
      </c>
      <c r="W84" s="12">
        <v>1125</v>
      </c>
      <c r="X84" s="12">
        <v>5109</v>
      </c>
      <c r="Y84" s="12">
        <v>375</v>
      </c>
      <c r="Z84" s="12">
        <v>2649</v>
      </c>
      <c r="AA84" s="12">
        <v>5358</v>
      </c>
      <c r="AB84" s="12">
        <v>409</v>
      </c>
      <c r="AC84" s="12">
        <v>1301</v>
      </c>
      <c r="AD84" s="12">
        <v>716</v>
      </c>
      <c r="AE84" s="12">
        <v>249</v>
      </c>
      <c r="AF84" s="12">
        <v>34</v>
      </c>
      <c r="AG84" s="8">
        <f>IFERROR(Cleandata_table3[[#This Row],[Population 20 to 64 years below poverty]]/Cleandata_table3[[#This Row],[Population 20 to 64 years for whom poverty status is determined]],"")</f>
        <v>0.16894428592881813</v>
      </c>
      <c r="AH84" s="8">
        <f>IFERROR(Cleandata_table3[[#This Row],[Population 20 to 64 years unemployed]]/Cleandata_table3[[#This Row],[Population 20 to 64 years in civilian labor force]],"")</f>
        <v>4.647256438969765E-2</v>
      </c>
      <c r="AI84" s="8">
        <f>IFERROR(Cleandata_table3[[#This Row],[Population 20 to 64 years in civilian labor force]]/Cleandata_table3[[#This Row],[Population 20 to 64 years for whom poverty status is determined]],"")</f>
        <v>0.80462531911698454</v>
      </c>
      <c r="AJ84" s="10">
        <f>IFERROR(Cleandata_table3[[#This Row],[Families with income in the past 12 months below poverty level]]/Cleandata_table3[[#This Row],[Families for whom poverty status is determined]],"")</f>
        <v>0.20446818844099077</v>
      </c>
      <c r="AK84" s="8">
        <f>IFERROR(Cleandata_table3[[#This Row],[Population 20 to 64 years employed]]/Cleandata_table3[[#This Row],[Population 20 to 64 years for whom poverty status is determined]],"")</f>
        <v>0.7672323171647395</v>
      </c>
      <c r="AL84" s="8">
        <f>IFERROR(Cleandata_table3[[#This Row],[Population 20 to 64 years not in labor force]]/Cleandata_table3[[#This Row],[Population 20 to 64 years for whom poverty status is determined]],"")</f>
        <v>0.19537468088301546</v>
      </c>
      <c r="AM84" s="10">
        <f>IFERROR(Cleandata_table3[[#This Row],[Married-couple family with related children of the householder under 18 years below poverty]]/Cleandata_table3[[#This Row],[Families for whom poverty status is determined]],"")</f>
        <v>5.8280718795531809E-3</v>
      </c>
      <c r="AN84" s="10">
        <f>IFERROR(Cleandata_table3[[#This Row],[Married-couple family without related children of the householder under 18 years below poverty]]/Cleandata_table3[[#This Row],[Families for whom poverty status is determined]],"")</f>
        <v>6.7994171928120448E-2</v>
      </c>
      <c r="AO84" s="10">
        <f>IFERROR(Cleandata_table3[[#This Row],[Single parents with related children of the householder under 18 years below poverty]]/Cleandata_table3[[#This Row],[Families for whom poverty status is determined]],"")</f>
        <v>7.3822243807673632E-2</v>
      </c>
      <c r="AP84" s="10">
        <f>IFERROR(Cleandata_table3[[#This Row],[Other family below poverty]]/Cleandata_table3[[#This Row],[Families for whom poverty status is determined]],"")</f>
        <v>5.6823700825643517E-2</v>
      </c>
      <c r="AQ84" s="6">
        <f>IFERROR(Cleandata_table3[[#This Row],[Population 16 years and over in civilian labor force unemployed]]/Cleandata_table3[[#This Row],[Population 16 years and over in civilian labor force]],"")</f>
        <v>5.5394084458881859E-2</v>
      </c>
      <c r="AR84" s="6">
        <f>IFERROR((Cleandata_table3[[#This Row],[Population 16 years and over in civilian labor force]]-Cleandata_table3[[#This Row],[Population 16 years and over in civilian labor force unemployed]])/Cleandata_table3[[#This Row],[Population 16 years and over]],"")</f>
        <v>0.64741035856573703</v>
      </c>
      <c r="AS84" s="6">
        <f>IFERROR(Cleandata_table3[[#This Row],[Population 16 years and over in civilian labor force]]/Cleandata_table3[[#This Row],[Population 16 years and over]],"")</f>
        <v>0.68537614248886802</v>
      </c>
      <c r="AT84" s="6">
        <f>IFERROR(Cleandata_table3[[#This Row],[Population 16 years and over not in labor force]]/Cleandata_table3[[#This Row],[Population 16 years and over]],"")</f>
        <v>0.31462385751113192</v>
      </c>
      <c r="AU84" t="str">
        <f>Cleandata_table3[[#This Row],[Neighborhood Name]]&amp; " | " &amp;Cleandata_table3[[#This Row],[Neighborhood Subtype]]</f>
        <v>Northgate | Urban Center</v>
      </c>
      <c r="AV84" t="s">
        <v>107</v>
      </c>
    </row>
    <row r="85" spans="1:48" x14ac:dyDescent="0.35">
      <c r="A85" t="s">
        <v>119</v>
      </c>
      <c r="B85" t="s">
        <v>181</v>
      </c>
      <c r="C85" t="s">
        <v>192</v>
      </c>
      <c r="D85" s="12">
        <v>6852</v>
      </c>
      <c r="E85" s="12">
        <v>840</v>
      </c>
      <c r="F85" s="12">
        <v>6012</v>
      </c>
      <c r="G85" s="12">
        <v>207</v>
      </c>
      <c r="H85" s="12">
        <v>7297</v>
      </c>
      <c r="I85" s="12">
        <v>359</v>
      </c>
      <c r="J85" s="12">
        <v>250</v>
      </c>
      <c r="K85" s="12">
        <v>79</v>
      </c>
      <c r="L85" s="12">
        <v>106</v>
      </c>
      <c r="M85" s="12">
        <v>110</v>
      </c>
      <c r="N85" s="12">
        <v>61</v>
      </c>
      <c r="O85" s="12">
        <v>6332</v>
      </c>
      <c r="P85" s="12">
        <v>1164</v>
      </c>
      <c r="Q85" s="12">
        <v>62</v>
      </c>
      <c r="R85" s="12">
        <v>5</v>
      </c>
      <c r="S85" s="12">
        <v>0</v>
      </c>
      <c r="T85" s="12">
        <v>57</v>
      </c>
      <c r="U85" s="12">
        <v>0</v>
      </c>
      <c r="V85" s="12">
        <v>6354</v>
      </c>
      <c r="W85" s="12">
        <v>362</v>
      </c>
      <c r="X85" s="12">
        <v>5715</v>
      </c>
      <c r="Y85" s="12">
        <v>148</v>
      </c>
      <c r="Z85" s="12">
        <v>965</v>
      </c>
      <c r="AA85" s="12">
        <v>5908</v>
      </c>
      <c r="AB85" s="12">
        <v>194</v>
      </c>
      <c r="AC85" s="12">
        <v>446</v>
      </c>
      <c r="AD85" s="12">
        <v>168</v>
      </c>
      <c r="AE85" s="12">
        <v>193</v>
      </c>
      <c r="AF85" s="12">
        <v>46</v>
      </c>
      <c r="AG85" s="8">
        <f>IFERROR(Cleandata_table3[[#This Row],[Population 20 to 64 years below poverty]]/Cleandata_table3[[#This Row],[Population 20 to 64 years for whom poverty status is determined]],"")</f>
        <v>5.6971986150456407E-2</v>
      </c>
      <c r="AH85" s="8">
        <f>IFERROR(Cleandata_table3[[#This Row],[Population 20 to 64 years unemployed]]/Cleandata_table3[[#This Row],[Population 20 to 64 years in civilian labor force]],"")</f>
        <v>3.2667569397427217E-2</v>
      </c>
      <c r="AI85" s="8">
        <f>IFERROR(Cleandata_table3[[#This Row],[Population 20 to 64 years in civilian labor force]]/Cleandata_table3[[#This Row],[Population 20 to 64 years for whom poverty status is determined]],"")</f>
        <v>0.92980799496380229</v>
      </c>
      <c r="AJ85" s="10">
        <f>IFERROR(Cleandata_table3[[#This Row],[Families with income in the past 12 months below poverty level]]/Cleandata_table3[[#This Row],[Families for whom poverty status is determined]],"")</f>
        <v>5.3264604810996562E-2</v>
      </c>
      <c r="AK85" s="8">
        <f>IFERROR(Cleandata_table3[[#This Row],[Population 20 to 64 years employed]]/Cleandata_table3[[#This Row],[Population 20 to 64 years for whom poverty status is determined]],"")</f>
        <v>0.89943342776203961</v>
      </c>
      <c r="AL85" s="8">
        <f>IFERROR(Cleandata_table3[[#This Row],[Population 20 to 64 years not in labor force]]/Cleandata_table3[[#This Row],[Population 20 to 64 years for whom poverty status is determined]],"")</f>
        <v>7.0192005036197672E-2</v>
      </c>
      <c r="AM85" s="10">
        <f>IFERROR(Cleandata_table3[[#This Row],[Married-couple family with related children of the householder under 18 years below poverty]]/Cleandata_table3[[#This Row],[Families for whom poverty status is determined]],"")</f>
        <v>4.2955326460481103E-3</v>
      </c>
      <c r="AN85" s="10">
        <f>IFERROR(Cleandata_table3[[#This Row],[Married-couple family without related children of the householder under 18 years below poverty]]/Cleandata_table3[[#This Row],[Families for whom poverty status is determined]],"")</f>
        <v>0</v>
      </c>
      <c r="AO85" s="10">
        <f>IFERROR(Cleandata_table3[[#This Row],[Single parents with related children of the householder under 18 years below poverty]]/Cleandata_table3[[#This Row],[Families for whom poverty status is determined]],"")</f>
        <v>4.8969072164948453E-2</v>
      </c>
      <c r="AP85" s="10">
        <f>IFERROR(Cleandata_table3[[#This Row],[Other family below poverty]]/Cleandata_table3[[#This Row],[Families for whom poverty status is determined]],"")</f>
        <v>0</v>
      </c>
      <c r="AQ85" s="6">
        <f>IFERROR(Cleandata_table3[[#This Row],[Population 16 years and over in civilian labor force unemployed]]/Cleandata_table3[[#This Row],[Population 16 years and over in civilian labor force]],"")</f>
        <v>3.4431137724550899E-2</v>
      </c>
      <c r="AR85" s="6">
        <f>IFERROR((Cleandata_table3[[#This Row],[Population 16 years and over in civilian labor force]]-Cleandata_table3[[#This Row],[Population 16 years and over in civilian labor force unemployed]])/Cleandata_table3[[#This Row],[Population 16 years and over]],"")</f>
        <v>0.84719789842381787</v>
      </c>
      <c r="AS85" s="6">
        <f>IFERROR(Cleandata_table3[[#This Row],[Population 16 years and over in civilian labor force]]/Cleandata_table3[[#This Row],[Population 16 years and over]],"")</f>
        <v>0.87740805604203154</v>
      </c>
      <c r="AT85" s="6">
        <f>IFERROR(Cleandata_table3[[#This Row],[Population 16 years and over not in labor force]]/Cleandata_table3[[#This Row],[Population 16 years and over]],"")</f>
        <v>0.12259194395796848</v>
      </c>
      <c r="AU85" t="str">
        <f>Cleandata_table3[[#This Row],[Neighborhood Name]]&amp; " | " &amp;Cleandata_table3[[#This Row],[Neighborhood Subtype]]</f>
        <v>Fremont | Hub Urban Village</v>
      </c>
      <c r="AV85" t="s">
        <v>107</v>
      </c>
    </row>
    <row r="86" spans="1:48" x14ac:dyDescent="0.35">
      <c r="A86" t="s">
        <v>116</v>
      </c>
      <c r="B86" t="s">
        <v>181</v>
      </c>
      <c r="C86" t="s">
        <v>192</v>
      </c>
      <c r="D86" s="12">
        <v>18925</v>
      </c>
      <c r="E86" s="12">
        <v>2724</v>
      </c>
      <c r="F86" s="12">
        <v>16155</v>
      </c>
      <c r="G86" s="12">
        <v>679</v>
      </c>
      <c r="H86" s="12">
        <v>21365</v>
      </c>
      <c r="I86" s="12">
        <v>629</v>
      </c>
      <c r="J86" s="12">
        <v>734</v>
      </c>
      <c r="K86" s="12">
        <v>230</v>
      </c>
      <c r="L86" s="12">
        <v>191</v>
      </c>
      <c r="M86" s="12">
        <v>166</v>
      </c>
      <c r="N86" s="12">
        <v>127</v>
      </c>
      <c r="O86" s="12">
        <v>19288</v>
      </c>
      <c r="P86" s="12">
        <v>3657</v>
      </c>
      <c r="Q86" s="12">
        <v>127</v>
      </c>
      <c r="R86" s="12">
        <v>0</v>
      </c>
      <c r="S86" s="12">
        <v>0</v>
      </c>
      <c r="T86" s="12">
        <v>127</v>
      </c>
      <c r="U86" s="12">
        <v>0</v>
      </c>
      <c r="V86" s="12">
        <v>17045</v>
      </c>
      <c r="W86" s="12">
        <v>1045</v>
      </c>
      <c r="X86" s="12">
        <v>15075</v>
      </c>
      <c r="Y86" s="12">
        <v>489</v>
      </c>
      <c r="Z86" s="12">
        <v>2077</v>
      </c>
      <c r="AA86" s="12">
        <v>15745</v>
      </c>
      <c r="AB86" s="12">
        <v>750</v>
      </c>
      <c r="AC86" s="12">
        <v>1254</v>
      </c>
      <c r="AD86" s="12">
        <v>295</v>
      </c>
      <c r="AE86" s="12">
        <v>670</v>
      </c>
      <c r="AF86" s="12">
        <v>261</v>
      </c>
      <c r="AG86" s="8">
        <f>IFERROR(Cleandata_table3[[#This Row],[Population 20 to 64 years below poverty]]/Cleandata_table3[[#This Row],[Population 20 to 64 years for whom poverty status is determined]],"")</f>
        <v>6.1308301554708122E-2</v>
      </c>
      <c r="AH86" s="8">
        <f>IFERROR(Cleandata_table3[[#This Row],[Population 20 to 64 years unemployed]]/Cleandata_table3[[#This Row],[Population 20 to 64 years in civilian labor force]],"")</f>
        <v>4.2553191489361701E-2</v>
      </c>
      <c r="AI86" s="8">
        <f>IFERROR(Cleandata_table3[[#This Row],[Population 20 to 64 years in civilian labor force]]/Cleandata_table3[[#This Row],[Population 20 to 64 years for whom poverty status is determined]],"")</f>
        <v>0.92373129950132005</v>
      </c>
      <c r="AJ86" s="10">
        <f>IFERROR(Cleandata_table3[[#This Row],[Families with income in the past 12 months below poverty level]]/Cleandata_table3[[#This Row],[Families for whom poverty status is determined]],"")</f>
        <v>3.4727919059338253E-2</v>
      </c>
      <c r="AK86" s="8">
        <f>IFERROR(Cleandata_table3[[#This Row],[Population 20 to 64 years employed]]/Cleandata_table3[[#This Row],[Population 20 to 64 years for whom poverty status is determined]],"")</f>
        <v>0.88442358462892345</v>
      </c>
      <c r="AL86" s="8">
        <f>IFERROR(Cleandata_table3[[#This Row],[Population 20 to 64 years not in labor force]]/Cleandata_table3[[#This Row],[Population 20 to 64 years for whom poverty status is determined]],"")</f>
        <v>7.3569961865649749E-2</v>
      </c>
      <c r="AM86" s="10">
        <f>IFERROR(Cleandata_table3[[#This Row],[Married-couple family with related children of the householder under 18 years below poverty]]/Cleandata_table3[[#This Row],[Families for whom poverty status is determined]],"")</f>
        <v>0</v>
      </c>
      <c r="AN86" s="10">
        <f>IFERROR(Cleandata_table3[[#This Row],[Married-couple family without related children of the householder under 18 years below poverty]]/Cleandata_table3[[#This Row],[Families for whom poverty status is determined]],"")</f>
        <v>0</v>
      </c>
      <c r="AO86" s="10">
        <f>IFERROR(Cleandata_table3[[#This Row],[Single parents with related children of the householder under 18 years below poverty]]/Cleandata_table3[[#This Row],[Families for whom poverty status is determined]],"")</f>
        <v>3.4727919059338253E-2</v>
      </c>
      <c r="AP86" s="10">
        <f>IFERROR(Cleandata_table3[[#This Row],[Other family below poverty]]/Cleandata_table3[[#This Row],[Families for whom poverty status is determined]],"")</f>
        <v>0</v>
      </c>
      <c r="AQ86" s="6">
        <f>IFERROR(Cleandata_table3[[#This Row],[Population 16 years and over in civilian labor force unemployed]]/Cleandata_table3[[#This Row],[Population 16 years and over in civilian labor force]],"")</f>
        <v>4.2030331166821415E-2</v>
      </c>
      <c r="AR86" s="6">
        <f>IFERROR((Cleandata_table3[[#This Row],[Population 16 years and over in civilian labor force]]-Cleandata_table3[[#This Row],[Population 16 years and over in civilian labor force unemployed]])/Cleandata_table3[[#This Row],[Population 16 years and over]],"")</f>
        <v>0.81775429326287974</v>
      </c>
      <c r="AS86" s="6">
        <f>IFERROR(Cleandata_table3[[#This Row],[Population 16 years and over in civilian labor force]]/Cleandata_table3[[#This Row],[Population 16 years and over]],"")</f>
        <v>0.85363276089828266</v>
      </c>
      <c r="AT86" s="6">
        <f>IFERROR(Cleandata_table3[[#This Row],[Population 16 years and over not in labor force]]/Cleandata_table3[[#This Row],[Population 16 years and over]],"")</f>
        <v>0.14393659180977542</v>
      </c>
      <c r="AU86" t="str">
        <f>Cleandata_table3[[#This Row],[Neighborhood Name]]&amp; " | " &amp;Cleandata_table3[[#This Row],[Neighborhood Subtype]]</f>
        <v>Ballard | Hub Urban Village</v>
      </c>
      <c r="AV86" t="s">
        <v>107</v>
      </c>
    </row>
    <row r="87" spans="1:48" x14ac:dyDescent="0.35">
      <c r="A87" t="s">
        <v>202</v>
      </c>
      <c r="B87" t="s">
        <v>181</v>
      </c>
      <c r="C87" t="s">
        <v>192</v>
      </c>
      <c r="D87" s="12">
        <v>6555</v>
      </c>
      <c r="E87" s="12">
        <v>1964</v>
      </c>
      <c r="F87" s="12">
        <v>4591</v>
      </c>
      <c r="G87" s="12">
        <v>126</v>
      </c>
      <c r="H87" s="12">
        <v>7836</v>
      </c>
      <c r="I87" s="12">
        <v>371</v>
      </c>
      <c r="J87" s="12">
        <v>489</v>
      </c>
      <c r="K87" s="12">
        <v>221</v>
      </c>
      <c r="L87" s="12">
        <v>100</v>
      </c>
      <c r="M87" s="12">
        <v>182</v>
      </c>
      <c r="N87" s="12">
        <v>98</v>
      </c>
      <c r="O87" s="12">
        <v>6375</v>
      </c>
      <c r="P87" s="12">
        <v>1740</v>
      </c>
      <c r="Q87" s="12">
        <v>194</v>
      </c>
      <c r="R87" s="12">
        <v>0</v>
      </c>
      <c r="S87" s="12">
        <v>30</v>
      </c>
      <c r="T87" s="12">
        <v>53</v>
      </c>
      <c r="U87" s="12">
        <v>111</v>
      </c>
      <c r="V87" s="12">
        <v>4921</v>
      </c>
      <c r="W87" s="12">
        <v>488</v>
      </c>
      <c r="X87" s="12">
        <v>4184</v>
      </c>
      <c r="Y87" s="12">
        <v>286</v>
      </c>
      <c r="Z87" s="12">
        <v>1461</v>
      </c>
      <c r="AA87" s="12">
        <v>4310</v>
      </c>
      <c r="AB87" s="12">
        <v>286</v>
      </c>
      <c r="AC87" s="12">
        <v>611</v>
      </c>
      <c r="AD87" s="12">
        <v>202</v>
      </c>
      <c r="AE87" s="12">
        <v>126</v>
      </c>
      <c r="AF87" s="12">
        <v>0</v>
      </c>
      <c r="AG87" s="8">
        <f>IFERROR(Cleandata_table3[[#This Row],[Population 20 to 64 years below poverty]]/Cleandata_table3[[#This Row],[Population 20 to 64 years for whom poverty status is determined]],"")</f>
        <v>9.9166836008941273E-2</v>
      </c>
      <c r="AH87" s="8">
        <f>IFERROR(Cleandata_table3[[#This Row],[Population 20 to 64 years unemployed]]/Cleandata_table3[[#This Row],[Population 20 to 64 years in civilian labor force]],"")</f>
        <v>2.923433874709977E-2</v>
      </c>
      <c r="AI87" s="8">
        <f>IFERROR(Cleandata_table3[[#This Row],[Population 20 to 64 years in civilian labor force]]/Cleandata_table3[[#This Row],[Population 20 to 64 years for whom poverty status is determined]],"")</f>
        <v>0.87583824425929691</v>
      </c>
      <c r="AJ87" s="10">
        <f>IFERROR(Cleandata_table3[[#This Row],[Families with income in the past 12 months below poverty level]]/Cleandata_table3[[#This Row],[Families for whom poverty status is determined]],"")</f>
        <v>0.11149425287356322</v>
      </c>
      <c r="AK87" s="8">
        <f>IFERROR(Cleandata_table3[[#This Row],[Population 20 to 64 years employed]]/Cleandata_table3[[#This Row],[Population 20 to 64 years for whom poverty status is determined]],"")</f>
        <v>0.85023369233895552</v>
      </c>
      <c r="AL87" s="8">
        <f>IFERROR(Cleandata_table3[[#This Row],[Population 20 to 64 years not in labor force]]/Cleandata_table3[[#This Row],[Population 20 to 64 years for whom poverty status is determined]],"")</f>
        <v>0.12416175574070311</v>
      </c>
      <c r="AM87" s="10">
        <f>IFERROR(Cleandata_table3[[#This Row],[Married-couple family with related children of the householder under 18 years below poverty]]/Cleandata_table3[[#This Row],[Families for whom poverty status is determined]],"")</f>
        <v>0</v>
      </c>
      <c r="AN87" s="10">
        <f>IFERROR(Cleandata_table3[[#This Row],[Married-couple family without related children of the householder under 18 years below poverty]]/Cleandata_table3[[#This Row],[Families for whom poverty status is determined]],"")</f>
        <v>1.7241379310344827E-2</v>
      </c>
      <c r="AO87" s="10">
        <f>IFERROR(Cleandata_table3[[#This Row],[Single parents with related children of the householder under 18 years below poverty]]/Cleandata_table3[[#This Row],[Families for whom poverty status is determined]],"")</f>
        <v>3.0459770114942528E-2</v>
      </c>
      <c r="AP87" s="10">
        <f>IFERROR(Cleandata_table3[[#This Row],[Other family below poverty]]/Cleandata_table3[[#This Row],[Families for whom poverty status is determined]],"")</f>
        <v>6.3793103448275865E-2</v>
      </c>
      <c r="AQ87" s="6">
        <f>IFERROR(Cleandata_table3[[#This Row],[Population 16 years and over in civilian labor force unemployed]]/Cleandata_table3[[#This Row],[Population 16 years and over in civilian labor force]],"")</f>
        <v>2.7445001089087345E-2</v>
      </c>
      <c r="AR87" s="6">
        <f>IFERROR((Cleandata_table3[[#This Row],[Population 16 years and over in civilian labor force]]-Cleandata_table3[[#This Row],[Population 16 years and over in civilian labor force unemployed]])/Cleandata_table3[[#This Row],[Population 16 years and over]],"")</f>
        <v>0.6811594202898551</v>
      </c>
      <c r="AS87" s="6">
        <f>IFERROR(Cleandata_table3[[#This Row],[Population 16 years and over in civilian labor force]]/Cleandata_table3[[#This Row],[Population 16 years and over]],"")</f>
        <v>0.70038138825324181</v>
      </c>
      <c r="AT87" s="6">
        <f>IFERROR(Cleandata_table3[[#This Row],[Population 16 years and over not in labor force]]/Cleandata_table3[[#This Row],[Population 16 years and over]],"")</f>
        <v>0.29961861174675819</v>
      </c>
      <c r="AU87" t="str">
        <f>Cleandata_table3[[#This Row],[Neighborhood Name]]&amp; " | " &amp;Cleandata_table3[[#This Row],[Neighborhood Subtype]]</f>
        <v>Mt Baker | Hub Urban Village</v>
      </c>
      <c r="AV87" t="s">
        <v>107</v>
      </c>
    </row>
    <row r="88" spans="1:48" x14ac:dyDescent="0.35">
      <c r="A88" t="s">
        <v>203</v>
      </c>
      <c r="B88" t="s">
        <v>181</v>
      </c>
      <c r="C88" t="s">
        <v>201</v>
      </c>
      <c r="D88" s="12">
        <v>11700</v>
      </c>
      <c r="E88" s="12">
        <v>1900</v>
      </c>
      <c r="F88" s="12">
        <v>9778</v>
      </c>
      <c r="G88" s="12">
        <v>508</v>
      </c>
      <c r="H88" s="12">
        <v>11785</v>
      </c>
      <c r="I88" s="12">
        <v>888</v>
      </c>
      <c r="J88" s="12">
        <v>170</v>
      </c>
      <c r="K88" s="12">
        <v>180</v>
      </c>
      <c r="L88" s="12">
        <v>261</v>
      </c>
      <c r="M88" s="12">
        <v>322</v>
      </c>
      <c r="N88" s="12">
        <v>18</v>
      </c>
      <c r="O88" s="12">
        <v>9946</v>
      </c>
      <c r="P88" s="12">
        <v>1277</v>
      </c>
      <c r="Q88" s="12">
        <v>58</v>
      </c>
      <c r="R88" s="12">
        <v>0</v>
      </c>
      <c r="S88" s="12">
        <v>0</v>
      </c>
      <c r="T88" s="12">
        <v>58</v>
      </c>
      <c r="U88" s="12">
        <v>0</v>
      </c>
      <c r="V88" s="12">
        <v>10716</v>
      </c>
      <c r="W88" s="12">
        <v>940</v>
      </c>
      <c r="X88" s="12">
        <v>9255</v>
      </c>
      <c r="Y88" s="12">
        <v>216</v>
      </c>
      <c r="Z88" s="12">
        <v>1839</v>
      </c>
      <c r="AA88" s="12">
        <v>9705</v>
      </c>
      <c r="AB88" s="12">
        <v>470</v>
      </c>
      <c r="AC88" s="12">
        <v>989</v>
      </c>
      <c r="AD88" s="12">
        <v>470</v>
      </c>
      <c r="AE88" s="12">
        <v>450</v>
      </c>
      <c r="AF88" s="12">
        <v>254</v>
      </c>
      <c r="AG88" s="8">
        <f>IFERROR(Cleandata_table3[[#This Row],[Population 20 to 64 years below poverty]]/Cleandata_table3[[#This Row],[Population 20 to 64 years for whom poverty status is determined]],"")</f>
        <v>8.771929824561403E-2</v>
      </c>
      <c r="AH88" s="8">
        <f>IFERROR(Cleandata_table3[[#This Row],[Population 20 to 64 years unemployed]]/Cleandata_table3[[#This Row],[Population 20 to 64 years in civilian labor force]],"")</f>
        <v>4.6367851622874809E-2</v>
      </c>
      <c r="AI88" s="8">
        <f>IFERROR(Cleandata_table3[[#This Row],[Population 20 to 64 years in civilian labor force]]/Cleandata_table3[[#This Row],[Population 20 to 64 years for whom poverty status is determined]],"")</f>
        <v>0.90565509518477039</v>
      </c>
      <c r="AJ88" s="10">
        <f>IFERROR(Cleandata_table3[[#This Row],[Families with income in the past 12 months below poverty level]]/Cleandata_table3[[#This Row],[Families for whom poverty status is determined]],"")</f>
        <v>4.541895066562255E-2</v>
      </c>
      <c r="AK88" s="8">
        <f>IFERROR(Cleandata_table3[[#This Row],[Population 20 to 64 years employed]]/Cleandata_table3[[#This Row],[Population 20 to 64 years for whom poverty status is determined]],"")</f>
        <v>0.86366181410974241</v>
      </c>
      <c r="AL88" s="8">
        <f>IFERROR(Cleandata_table3[[#This Row],[Population 20 to 64 years not in labor force]]/Cleandata_table3[[#This Row],[Population 20 to 64 years for whom poverty status is determined]],"")</f>
        <v>9.2291899962672633E-2</v>
      </c>
      <c r="AM88" s="10">
        <f>IFERROR(Cleandata_table3[[#This Row],[Married-couple family with related children of the householder under 18 years below poverty]]/Cleandata_table3[[#This Row],[Families for whom poverty status is determined]],"")</f>
        <v>0</v>
      </c>
      <c r="AN88" s="10">
        <f>IFERROR(Cleandata_table3[[#This Row],[Married-couple family without related children of the householder under 18 years below poverty]]/Cleandata_table3[[#This Row],[Families for whom poverty status is determined]],"")</f>
        <v>0</v>
      </c>
      <c r="AO88" s="10">
        <f>IFERROR(Cleandata_table3[[#This Row],[Single parents with related children of the householder under 18 years below poverty]]/Cleandata_table3[[#This Row],[Families for whom poverty status is determined]],"")</f>
        <v>4.541895066562255E-2</v>
      </c>
      <c r="AP88" s="10">
        <f>IFERROR(Cleandata_table3[[#This Row],[Other family below poverty]]/Cleandata_table3[[#This Row],[Families for whom poverty status is determined]],"")</f>
        <v>0</v>
      </c>
      <c r="AQ88" s="6">
        <f>IFERROR(Cleandata_table3[[#This Row],[Population 16 years and over in civilian labor force unemployed]]/Cleandata_table3[[#This Row],[Population 16 years and over in civilian labor force]],"")</f>
        <v>5.1953364696256901E-2</v>
      </c>
      <c r="AR88" s="6">
        <f>IFERROR((Cleandata_table3[[#This Row],[Population 16 years and over in civilian labor force]]-Cleandata_table3[[#This Row],[Population 16 years and over in civilian labor force unemployed]])/Cleandata_table3[[#This Row],[Population 16 years and over]],"")</f>
        <v>0.79230769230769227</v>
      </c>
      <c r="AS88" s="6">
        <f>IFERROR(Cleandata_table3[[#This Row],[Population 16 years and over in civilian labor force]]/Cleandata_table3[[#This Row],[Population 16 years and over]],"")</f>
        <v>0.83572649572649571</v>
      </c>
      <c r="AT88" s="6">
        <f>IFERROR(Cleandata_table3[[#This Row],[Population 16 years and over not in labor force]]/Cleandata_table3[[#This Row],[Population 16 years and over]],"")</f>
        <v>0.1623931623931624</v>
      </c>
      <c r="AU88" t="str">
        <f>Cleandata_table3[[#This Row],[Neighborhood Name]]&amp; " | " &amp;Cleandata_table3[[#This Row],[Neighborhood Subtype]]</f>
        <v>South Lake Union | Urban Center</v>
      </c>
      <c r="AV88" t="s">
        <v>107</v>
      </c>
    </row>
    <row r="89" spans="1:48" x14ac:dyDescent="0.35">
      <c r="A89" t="s">
        <v>175</v>
      </c>
      <c r="B89" t="s">
        <v>181</v>
      </c>
      <c r="C89" t="s">
        <v>201</v>
      </c>
      <c r="D89" s="12">
        <v>28848</v>
      </c>
      <c r="E89" s="12">
        <v>12959</v>
      </c>
      <c r="F89" s="12">
        <v>15889</v>
      </c>
      <c r="G89" s="12">
        <v>1117</v>
      </c>
      <c r="H89" s="12">
        <v>19452</v>
      </c>
      <c r="I89" s="12">
        <v>5457</v>
      </c>
      <c r="J89" s="12">
        <v>2222</v>
      </c>
      <c r="K89" s="12">
        <v>877</v>
      </c>
      <c r="L89" s="12">
        <v>1053</v>
      </c>
      <c r="M89" s="12">
        <v>1191</v>
      </c>
      <c r="N89" s="12">
        <v>371</v>
      </c>
      <c r="O89" s="12">
        <v>8281</v>
      </c>
      <c r="P89" s="12">
        <v>1687</v>
      </c>
      <c r="Q89" s="12">
        <v>314</v>
      </c>
      <c r="R89" s="12">
        <v>10</v>
      </c>
      <c r="S89" s="12">
        <v>41</v>
      </c>
      <c r="T89" s="12">
        <v>158</v>
      </c>
      <c r="U89" s="12">
        <v>105</v>
      </c>
      <c r="V89" s="12">
        <v>17042</v>
      </c>
      <c r="W89" s="12">
        <v>6728</v>
      </c>
      <c r="X89" s="12">
        <v>10958</v>
      </c>
      <c r="Y89" s="12">
        <v>2493</v>
      </c>
      <c r="Z89" s="12">
        <v>11171</v>
      </c>
      <c r="AA89" s="12">
        <v>11386</v>
      </c>
      <c r="AB89" s="12">
        <v>2848</v>
      </c>
      <c r="AC89" s="12">
        <v>5656</v>
      </c>
      <c r="AD89" s="12">
        <v>3880</v>
      </c>
      <c r="AE89" s="12">
        <v>428</v>
      </c>
      <c r="AF89" s="12">
        <v>355</v>
      </c>
      <c r="AG89" s="8">
        <f>IFERROR(Cleandata_table3[[#This Row],[Population 20 to 64 years below poverty]]/Cleandata_table3[[#This Row],[Population 20 to 64 years for whom poverty status is determined]],"")</f>
        <v>0.39478934397371201</v>
      </c>
      <c r="AH89" s="8">
        <f>IFERROR(Cleandata_table3[[#This Row],[Population 20 to 64 years unemployed]]/Cleandata_table3[[#This Row],[Population 20 to 64 years in civilian labor force]],"")</f>
        <v>3.7590022835060598E-2</v>
      </c>
      <c r="AI89" s="8">
        <f>IFERROR(Cleandata_table3[[#This Row],[Population 20 to 64 years in civilian labor force]]/Cleandata_table3[[#This Row],[Population 20 to 64 years for whom poverty status is determined]],"")</f>
        <v>0.66811407111841337</v>
      </c>
      <c r="AJ89" s="10">
        <f>IFERROR(Cleandata_table3[[#This Row],[Families with income in the past 12 months below poverty level]]/Cleandata_table3[[#This Row],[Families for whom poverty status is determined]],"")</f>
        <v>0.18612922347362182</v>
      </c>
      <c r="AK89" s="8">
        <f>IFERROR(Cleandata_table3[[#This Row],[Population 20 to 64 years employed]]/Cleandata_table3[[#This Row],[Population 20 to 64 years for whom poverty status is determined]],"")</f>
        <v>0.64299964792864683</v>
      </c>
      <c r="AL89" s="8">
        <f>IFERROR(Cleandata_table3[[#This Row],[Population 20 to 64 years not in labor force]]/Cleandata_table3[[#This Row],[Population 20 to 64 years for whom poverty status is determined]],"")</f>
        <v>0.33188592888158669</v>
      </c>
      <c r="AM89" s="10">
        <f>IFERROR(Cleandata_table3[[#This Row],[Married-couple family with related children of the householder under 18 years below poverty]]/Cleandata_table3[[#This Row],[Families for whom poverty status is determined]],"")</f>
        <v>5.9276822762299938E-3</v>
      </c>
      <c r="AN89" s="10">
        <f>IFERROR(Cleandata_table3[[#This Row],[Married-couple family without related children of the householder under 18 years below poverty]]/Cleandata_table3[[#This Row],[Families for whom poverty status is determined]],"")</f>
        <v>2.4303497332542976E-2</v>
      </c>
      <c r="AO89" s="10">
        <f>IFERROR(Cleandata_table3[[#This Row],[Single parents with related children of the householder under 18 years below poverty]]/Cleandata_table3[[#This Row],[Families for whom poverty status is determined]],"")</f>
        <v>9.3657379964433907E-2</v>
      </c>
      <c r="AP89" s="10">
        <f>IFERROR(Cleandata_table3[[#This Row],[Other family below poverty]]/Cleandata_table3[[#This Row],[Families for whom poverty status is determined]],"")</f>
        <v>6.2240663900414939E-2</v>
      </c>
      <c r="AQ89" s="6">
        <f>IFERROR(Cleandata_table3[[#This Row],[Population 16 years and over in civilian labor force unemployed]]/Cleandata_table3[[#This Row],[Population 16 years and over in civilian labor force]],"")</f>
        <v>7.0300207690855307E-2</v>
      </c>
      <c r="AR89" s="6">
        <f>IFERROR((Cleandata_table3[[#This Row],[Population 16 years and over in civilian labor force]]-Cleandata_table3[[#This Row],[Population 16 years and over in civilian labor force unemployed]])/Cleandata_table3[[#This Row],[Population 16 years and over]],"")</f>
        <v>0.51206322795341097</v>
      </c>
      <c r="AS89" s="6">
        <f>IFERROR(Cleandata_table3[[#This Row],[Population 16 years and over in civilian labor force]]/Cleandata_table3[[#This Row],[Population 16 years and over]],"")</f>
        <v>0.55078341652800888</v>
      </c>
      <c r="AT89" s="6">
        <f>IFERROR(Cleandata_table3[[#This Row],[Population 16 years and over not in labor force]]/Cleandata_table3[[#This Row],[Population 16 years and over]],"")</f>
        <v>0.44921658347199112</v>
      </c>
      <c r="AU89" t="str">
        <f>Cleandata_table3[[#This Row],[Neighborhood Name]]&amp; " | " &amp;Cleandata_table3[[#This Row],[Neighborhood Subtype]]</f>
        <v>University District | Urban Center</v>
      </c>
      <c r="AV89" t="s">
        <v>107</v>
      </c>
    </row>
    <row r="90" spans="1:48" x14ac:dyDescent="0.35">
      <c r="A90" t="s">
        <v>204</v>
      </c>
      <c r="B90" t="s">
        <v>181</v>
      </c>
      <c r="C90" t="s">
        <v>201</v>
      </c>
      <c r="D90" s="12">
        <v>12593</v>
      </c>
      <c r="E90" s="12">
        <v>2091</v>
      </c>
      <c r="F90" s="12">
        <v>10502</v>
      </c>
      <c r="G90" s="12">
        <v>561</v>
      </c>
      <c r="H90" s="12">
        <v>12624</v>
      </c>
      <c r="I90" s="12">
        <v>732</v>
      </c>
      <c r="J90" s="12">
        <v>489</v>
      </c>
      <c r="K90" s="12">
        <v>235</v>
      </c>
      <c r="L90" s="12">
        <v>82</v>
      </c>
      <c r="M90" s="12">
        <v>196</v>
      </c>
      <c r="N90" s="12">
        <v>55</v>
      </c>
      <c r="O90" s="12">
        <v>10835</v>
      </c>
      <c r="P90" s="12">
        <v>1881</v>
      </c>
      <c r="Q90" s="12">
        <v>122</v>
      </c>
      <c r="R90" s="12">
        <v>0</v>
      </c>
      <c r="S90" s="12">
        <v>0</v>
      </c>
      <c r="T90" s="12">
        <v>0</v>
      </c>
      <c r="U90" s="12">
        <v>122</v>
      </c>
      <c r="V90" s="12">
        <v>11045</v>
      </c>
      <c r="W90" s="12">
        <v>935</v>
      </c>
      <c r="X90" s="12">
        <v>9724</v>
      </c>
      <c r="Y90" s="12">
        <v>300</v>
      </c>
      <c r="Z90" s="12">
        <v>1789</v>
      </c>
      <c r="AA90" s="12">
        <v>10231</v>
      </c>
      <c r="AB90" s="12">
        <v>355</v>
      </c>
      <c r="AC90" s="12">
        <v>814</v>
      </c>
      <c r="AD90" s="12">
        <v>580</v>
      </c>
      <c r="AE90" s="12">
        <v>507</v>
      </c>
      <c r="AF90" s="12">
        <v>55</v>
      </c>
      <c r="AG90" s="8">
        <f>IFERROR(Cleandata_table3[[#This Row],[Population 20 to 64 years below poverty]]/Cleandata_table3[[#This Row],[Population 20 to 64 years for whom poverty status is determined]],"")</f>
        <v>8.4653689452240832E-2</v>
      </c>
      <c r="AH90" s="8">
        <f>IFERROR(Cleandata_table3[[#This Row],[Population 20 to 64 years unemployed]]/Cleandata_table3[[#This Row],[Population 20 to 64 years in civilian labor force]],"")</f>
        <v>4.9555273189326558E-2</v>
      </c>
      <c r="AI90" s="8">
        <f>IFERROR(Cleandata_table3[[#This Row],[Population 20 to 64 years in civilian labor force]]/Cleandata_table3[[#This Row],[Population 20 to 64 years for whom poverty status is determined]],"")</f>
        <v>0.92630149388863736</v>
      </c>
      <c r="AJ90" s="10">
        <f>IFERROR(Cleandata_table3[[#This Row],[Families with income in the past 12 months below poverty level]]/Cleandata_table3[[#This Row],[Families for whom poverty status is determined]],"")</f>
        <v>6.4859117490696436E-2</v>
      </c>
      <c r="AK90" s="8">
        <f>IFERROR(Cleandata_table3[[#This Row],[Population 20 to 64 years employed]]/Cleandata_table3[[#This Row],[Population 20 to 64 years for whom poverty status is determined]],"")</f>
        <v>0.8803983703033047</v>
      </c>
      <c r="AL90" s="8">
        <f>IFERROR(Cleandata_table3[[#This Row],[Population 20 to 64 years not in labor force]]/Cleandata_table3[[#This Row],[Population 20 to 64 years for whom poverty status is determined]],"")</f>
        <v>7.3698506111362611E-2</v>
      </c>
      <c r="AM90" s="10">
        <f>IFERROR(Cleandata_table3[[#This Row],[Married-couple family with related children of the householder under 18 years below poverty]]/Cleandata_table3[[#This Row],[Families for whom poverty status is determined]],"")</f>
        <v>0</v>
      </c>
      <c r="AN90" s="10">
        <f>IFERROR(Cleandata_table3[[#This Row],[Married-couple family without related children of the householder under 18 years below poverty]]/Cleandata_table3[[#This Row],[Families for whom poverty status is determined]],"")</f>
        <v>0</v>
      </c>
      <c r="AO90" s="10">
        <f>IFERROR(Cleandata_table3[[#This Row],[Single parents with related children of the householder under 18 years below poverty]]/Cleandata_table3[[#This Row],[Families for whom poverty status is determined]],"")</f>
        <v>0</v>
      </c>
      <c r="AP90" s="10">
        <f>IFERROR(Cleandata_table3[[#This Row],[Other family below poverty]]/Cleandata_table3[[#This Row],[Families for whom poverty status is determined]],"")</f>
        <v>6.4859117490696436E-2</v>
      </c>
      <c r="AQ90" s="6">
        <f>IFERROR(Cleandata_table3[[#This Row],[Population 16 years and over in civilian labor force unemployed]]/Cleandata_table3[[#This Row],[Population 16 years and over in civilian labor force]],"")</f>
        <v>5.3418396495905539E-2</v>
      </c>
      <c r="AR90" s="6">
        <f>IFERROR((Cleandata_table3[[#This Row],[Population 16 years and over in civilian labor force]]-Cleandata_table3[[#This Row],[Population 16 years and over in civilian labor force unemployed]])/Cleandata_table3[[#This Row],[Population 16 years and over]],"")</f>
        <v>0.78940681330898121</v>
      </c>
      <c r="AS90" s="6">
        <f>IFERROR(Cleandata_table3[[#This Row],[Population 16 years and over in civilian labor force]]/Cleandata_table3[[#This Row],[Population 16 years and over]],"")</f>
        <v>0.83395537203208137</v>
      </c>
      <c r="AT90" s="6">
        <f>IFERROR(Cleandata_table3[[#This Row],[Population 16 years and over not in labor force]]/Cleandata_table3[[#This Row],[Population 16 years and over]],"")</f>
        <v>0.16604462796791869</v>
      </c>
      <c r="AU90" t="str">
        <f>Cleandata_table3[[#This Row],[Neighborhood Name]]&amp; " | " &amp;Cleandata_table3[[#This Row],[Neighborhood Subtype]]</f>
        <v>Uptown | Urban Center</v>
      </c>
      <c r="AV90" t="s">
        <v>107</v>
      </c>
    </row>
    <row r="91" spans="1:48" x14ac:dyDescent="0.35">
      <c r="A91" t="s">
        <v>128</v>
      </c>
      <c r="B91" t="s">
        <v>181</v>
      </c>
      <c r="C91" t="s">
        <v>201</v>
      </c>
      <c r="D91" s="12">
        <v>41847</v>
      </c>
      <c r="E91" s="12">
        <v>10750</v>
      </c>
      <c r="F91" s="12">
        <v>30753</v>
      </c>
      <c r="G91" s="12">
        <v>1341</v>
      </c>
      <c r="H91" s="12">
        <v>41163</v>
      </c>
      <c r="I91" s="12">
        <v>2965</v>
      </c>
      <c r="J91" s="12">
        <v>3311</v>
      </c>
      <c r="K91" s="12">
        <v>1594</v>
      </c>
      <c r="L91" s="12">
        <v>1485</v>
      </c>
      <c r="M91" s="12">
        <v>942</v>
      </c>
      <c r="N91" s="12">
        <v>487</v>
      </c>
      <c r="O91" s="12">
        <v>30379</v>
      </c>
      <c r="P91" s="12">
        <v>6535</v>
      </c>
      <c r="Q91" s="12">
        <v>463</v>
      </c>
      <c r="R91" s="12">
        <v>0</v>
      </c>
      <c r="S91" s="12">
        <v>363</v>
      </c>
      <c r="T91" s="12">
        <v>81</v>
      </c>
      <c r="U91" s="12">
        <v>19</v>
      </c>
      <c r="V91" s="12">
        <v>34752</v>
      </c>
      <c r="W91" s="12">
        <v>4352</v>
      </c>
      <c r="X91" s="12">
        <v>28196</v>
      </c>
      <c r="Y91" s="12">
        <v>1663</v>
      </c>
      <c r="Z91" s="12">
        <v>10784</v>
      </c>
      <c r="AA91" s="12">
        <v>29417</v>
      </c>
      <c r="AB91" s="12">
        <v>2112</v>
      </c>
      <c r="AC91" s="12">
        <v>5172</v>
      </c>
      <c r="AD91" s="12">
        <v>2240</v>
      </c>
      <c r="AE91" s="12">
        <v>1221</v>
      </c>
      <c r="AF91" s="12">
        <v>449</v>
      </c>
      <c r="AG91" s="8">
        <f>IFERROR(Cleandata_table3[[#This Row],[Population 20 to 64 years below poverty]]/Cleandata_table3[[#This Row],[Population 20 to 64 years for whom poverty status is determined]],"")</f>
        <v>0.12523020257826889</v>
      </c>
      <c r="AH91" s="8">
        <f>IFERROR(Cleandata_table3[[#This Row],[Population 20 to 64 years unemployed]]/Cleandata_table3[[#This Row],[Population 20 to 64 years in civilian labor force]],"")</f>
        <v>4.1506611823095486E-2</v>
      </c>
      <c r="AI91" s="8">
        <f>IFERROR(Cleandata_table3[[#This Row],[Population 20 to 64 years in civilian labor force]]/Cleandata_table3[[#This Row],[Population 20 to 64 years for whom poverty status is determined]],"")</f>
        <v>0.84648365561694294</v>
      </c>
      <c r="AJ91" s="10">
        <f>IFERROR(Cleandata_table3[[#This Row],[Families with income in the past 12 months below poverty level]]/Cleandata_table3[[#This Row],[Families for whom poverty status is determined]],"")</f>
        <v>7.084927314460597E-2</v>
      </c>
      <c r="AK91" s="8">
        <f>IFERROR(Cleandata_table3[[#This Row],[Population 20 to 64 years employed]]/Cleandata_table3[[#This Row],[Population 20 to 64 years for whom poverty status is determined]],"")</f>
        <v>0.81134898710865566</v>
      </c>
      <c r="AL91" s="8">
        <f>IFERROR(Cleandata_table3[[#This Row],[Population 20 to 64 years not in labor force]]/Cleandata_table3[[#This Row],[Population 20 to 64 years for whom poverty status is determined]],"")</f>
        <v>0.14882596685082872</v>
      </c>
      <c r="AM91" s="10">
        <f>IFERROR(Cleandata_table3[[#This Row],[Married-couple family with related children of the householder under 18 years below poverty]]/Cleandata_table3[[#This Row],[Families for whom poverty status is determined]],"")</f>
        <v>0</v>
      </c>
      <c r="AN91" s="10">
        <f>IFERROR(Cleandata_table3[[#This Row],[Married-couple family without related children of the householder under 18 years below poverty]]/Cleandata_table3[[#This Row],[Families for whom poverty status is determined]],"")</f>
        <v>5.5547054322876814E-2</v>
      </c>
      <c r="AO91" s="10">
        <f>IFERROR(Cleandata_table3[[#This Row],[Single parents with related children of the householder under 18 years below poverty]]/Cleandata_table3[[#This Row],[Families for whom poverty status is determined]],"")</f>
        <v>1.2394797245600612E-2</v>
      </c>
      <c r="AP91" s="10">
        <f>IFERROR(Cleandata_table3[[#This Row],[Other family below poverty]]/Cleandata_table3[[#This Row],[Families for whom poverty status is determined]],"")</f>
        <v>2.9074215761285389E-3</v>
      </c>
      <c r="AQ91" s="6">
        <f>IFERROR(Cleandata_table3[[#This Row],[Population 16 years and over in civilian labor force unemployed]]/Cleandata_table3[[#This Row],[Population 16 years and over in civilian labor force]],"")</f>
        <v>4.3605501902253437E-2</v>
      </c>
      <c r="AR91" s="6">
        <f>IFERROR((Cleandata_table3[[#This Row],[Population 16 years and over in civilian labor force]]-Cleandata_table3[[#This Row],[Population 16 years and over in civilian labor force unemployed]])/Cleandata_table3[[#This Row],[Population 16 years and over]],"")</f>
        <v>0.70284608215642697</v>
      </c>
      <c r="AS91" s="6">
        <f>IFERROR(Cleandata_table3[[#This Row],[Population 16 years and over in civilian labor force]]/Cleandata_table3[[#This Row],[Population 16 years and over]],"")</f>
        <v>0.73489139006380388</v>
      </c>
      <c r="AT91" s="6">
        <f>IFERROR(Cleandata_table3[[#This Row],[Population 16 years and over not in labor force]]/Cleandata_table3[[#This Row],[Population 16 years and over]],"")</f>
        <v>0.25688818792267071</v>
      </c>
      <c r="AU91" t="str">
        <f>Cleandata_table3[[#This Row],[Neighborhood Name]]&amp; " | " &amp;Cleandata_table3[[#This Row],[Neighborhood Subtype]]</f>
        <v>Downtown | Urban Center</v>
      </c>
      <c r="AV91" t="s">
        <v>107</v>
      </c>
    </row>
    <row r="92" spans="1:48" x14ac:dyDescent="0.35">
      <c r="A92" t="s">
        <v>205</v>
      </c>
      <c r="B92" t="s">
        <v>181</v>
      </c>
      <c r="C92" t="s">
        <v>201</v>
      </c>
      <c r="D92" s="12">
        <v>47962</v>
      </c>
      <c r="E92" s="12">
        <v>9165</v>
      </c>
      <c r="F92" s="12">
        <v>38763</v>
      </c>
      <c r="G92" s="12">
        <v>2308</v>
      </c>
      <c r="H92" s="12">
        <v>47434</v>
      </c>
      <c r="I92" s="12">
        <v>3741</v>
      </c>
      <c r="J92" s="12">
        <v>2201</v>
      </c>
      <c r="K92" s="12">
        <v>1237</v>
      </c>
      <c r="L92" s="12">
        <v>916</v>
      </c>
      <c r="M92" s="12">
        <v>1630</v>
      </c>
      <c r="N92" s="12">
        <v>898</v>
      </c>
      <c r="O92" s="12">
        <v>36811</v>
      </c>
      <c r="P92" s="12">
        <v>5544</v>
      </c>
      <c r="Q92" s="12">
        <v>362</v>
      </c>
      <c r="R92" s="12">
        <v>31</v>
      </c>
      <c r="S92" s="12">
        <v>190</v>
      </c>
      <c r="T92" s="12">
        <v>86</v>
      </c>
      <c r="U92" s="12">
        <v>55</v>
      </c>
      <c r="V92" s="12">
        <v>41482</v>
      </c>
      <c r="W92" s="12">
        <v>4438</v>
      </c>
      <c r="X92" s="12">
        <v>35177</v>
      </c>
      <c r="Y92" s="12">
        <v>1793</v>
      </c>
      <c r="Z92" s="12">
        <v>10623</v>
      </c>
      <c r="AA92" s="12">
        <v>37220</v>
      </c>
      <c r="AB92" s="12">
        <v>2596</v>
      </c>
      <c r="AC92" s="12">
        <v>4228</v>
      </c>
      <c r="AD92" s="12">
        <v>1842</v>
      </c>
      <c r="AE92" s="12">
        <v>2043</v>
      </c>
      <c r="AF92" s="12">
        <v>803</v>
      </c>
      <c r="AG92" s="8">
        <f>IFERROR(Cleandata_table3[[#This Row],[Population 20 to 64 years below poverty]]/Cleandata_table3[[#This Row],[Population 20 to 64 years for whom poverty status is determined]],"")</f>
        <v>0.10698616267296658</v>
      </c>
      <c r="AH92" s="8">
        <f>IFERROR(Cleandata_table3[[#This Row],[Population 20 to 64 years unemployed]]/Cleandata_table3[[#This Row],[Population 20 to 64 years in civilian labor force]],"")</f>
        <v>5.488984416980118E-2</v>
      </c>
      <c r="AI92" s="8">
        <f>IFERROR(Cleandata_table3[[#This Row],[Population 20 to 64 years in civilian labor force]]/Cleandata_table3[[#This Row],[Population 20 to 64 years for whom poverty status is determined]],"")</f>
        <v>0.89725664143483919</v>
      </c>
      <c r="AJ92" s="10">
        <f>IFERROR(Cleandata_table3[[#This Row],[Families with income in the past 12 months below poverty level]]/Cleandata_table3[[#This Row],[Families for whom poverty status is determined]],"")</f>
        <v>6.5295815295815296E-2</v>
      </c>
      <c r="AK92" s="8">
        <f>IFERROR(Cleandata_table3[[#This Row],[Population 20 to 64 years employed]]/Cleandata_table3[[#This Row],[Population 20 to 64 years for whom poverty status is determined]],"")</f>
        <v>0.84800636420616171</v>
      </c>
      <c r="AL92" s="8">
        <f>IFERROR(Cleandata_table3[[#This Row],[Population 20 to 64 years not in labor force]]/Cleandata_table3[[#This Row],[Population 20 to 64 years for whom poverty status is determined]],"")</f>
        <v>0.10192372595342558</v>
      </c>
      <c r="AM92" s="10">
        <f>IFERROR(Cleandata_table3[[#This Row],[Married-couple family with related children of the householder under 18 years below poverty]]/Cleandata_table3[[#This Row],[Families for whom poverty status is determined]],"")</f>
        <v>5.591630591630592E-3</v>
      </c>
      <c r="AN92" s="10">
        <f>IFERROR(Cleandata_table3[[#This Row],[Married-couple family without related children of the householder under 18 years below poverty]]/Cleandata_table3[[#This Row],[Families for whom poverty status is determined]],"")</f>
        <v>3.4271284271284272E-2</v>
      </c>
      <c r="AO92" s="10">
        <f>IFERROR(Cleandata_table3[[#This Row],[Single parents with related children of the householder under 18 years below poverty]]/Cleandata_table3[[#This Row],[Families for whom poverty status is determined]],"")</f>
        <v>1.5512265512265512E-2</v>
      </c>
      <c r="AP92" s="10">
        <f>IFERROR(Cleandata_table3[[#This Row],[Other family below poverty]]/Cleandata_table3[[#This Row],[Families for whom poverty status is determined]],"")</f>
        <v>9.9206349206349201E-3</v>
      </c>
      <c r="AQ92" s="6">
        <f>IFERROR(Cleandata_table3[[#This Row],[Population 16 years and over in civilian labor force unemployed]]/Cleandata_table3[[#This Row],[Population 16 years and over in civilian labor force]],"")</f>
        <v>5.9541315171684338E-2</v>
      </c>
      <c r="AR92" s="6">
        <f>IFERROR((Cleandata_table3[[#This Row],[Population 16 years and over in civilian labor force]]-Cleandata_table3[[#This Row],[Population 16 years and over in civilian labor force unemployed]])/Cleandata_table3[[#This Row],[Population 16 years and over]],"")</f>
        <v>0.76008089737709017</v>
      </c>
      <c r="AS92" s="6">
        <f>IFERROR(Cleandata_table3[[#This Row],[Population 16 years and over in civilian labor force]]/Cleandata_table3[[#This Row],[Population 16 years and over]],"")</f>
        <v>0.80820232684208326</v>
      </c>
      <c r="AT92" s="6">
        <f>IFERROR(Cleandata_table3[[#This Row],[Population 16 years and over not in labor force]]/Cleandata_table3[[#This Row],[Population 16 years and over]],"")</f>
        <v>0.19108877861640466</v>
      </c>
      <c r="AU92" t="str">
        <f>Cleandata_table3[[#This Row],[Neighborhood Name]]&amp; " | " &amp;Cleandata_table3[[#This Row],[Neighborhood Subtype]]</f>
        <v>First Hill/Capitol Hill | Urban Center</v>
      </c>
      <c r="AV92" t="s">
        <v>107</v>
      </c>
    </row>
    <row r="93" spans="1:48" x14ac:dyDescent="0.35">
      <c r="A93" t="s">
        <v>152</v>
      </c>
      <c r="B93" t="s">
        <v>181</v>
      </c>
      <c r="C93" t="s">
        <v>206</v>
      </c>
      <c r="D93" s="12">
        <v>469</v>
      </c>
      <c r="E93" s="12">
        <v>102</v>
      </c>
      <c r="F93" s="12">
        <v>367</v>
      </c>
      <c r="G93" s="12">
        <v>0</v>
      </c>
      <c r="H93" s="12">
        <v>497</v>
      </c>
      <c r="I93" s="12">
        <v>6</v>
      </c>
      <c r="J93" s="12">
        <v>15</v>
      </c>
      <c r="K93" s="12">
        <v>53</v>
      </c>
      <c r="L93" s="12">
        <v>0</v>
      </c>
      <c r="M93" s="12">
        <v>30</v>
      </c>
      <c r="N93" s="12">
        <v>0</v>
      </c>
      <c r="O93" s="12">
        <v>393</v>
      </c>
      <c r="P93" s="12">
        <v>76</v>
      </c>
      <c r="Q93" s="12">
        <v>0</v>
      </c>
      <c r="R93" s="12">
        <v>0</v>
      </c>
      <c r="S93" s="12">
        <v>0</v>
      </c>
      <c r="T93" s="12">
        <v>0</v>
      </c>
      <c r="U93" s="12">
        <v>0</v>
      </c>
      <c r="V93" s="12">
        <v>389</v>
      </c>
      <c r="W93" s="12">
        <v>13</v>
      </c>
      <c r="X93" s="12">
        <v>361</v>
      </c>
      <c r="Y93" s="12">
        <v>7</v>
      </c>
      <c r="Z93" s="12">
        <v>104</v>
      </c>
      <c r="AA93" s="12">
        <v>361</v>
      </c>
      <c r="AB93" s="12">
        <v>7</v>
      </c>
      <c r="AC93" s="12">
        <v>28</v>
      </c>
      <c r="AD93" s="12">
        <v>6</v>
      </c>
      <c r="AE93" s="12">
        <v>0</v>
      </c>
      <c r="AF93" s="12">
        <v>0</v>
      </c>
      <c r="AG93" s="8">
        <f>IFERROR(Cleandata_table3[[#This Row],[Population 20 to 64 years below poverty]]/Cleandata_table3[[#This Row],[Population 20 to 64 years for whom poverty status is determined]],"")</f>
        <v>3.3419023136246784E-2</v>
      </c>
      <c r="AH93" s="8">
        <f>IFERROR(Cleandata_table3[[#This Row],[Population 20 to 64 years unemployed]]/Cleandata_table3[[#This Row],[Population 20 to 64 years in civilian labor force]],"")</f>
        <v>0</v>
      </c>
      <c r="AI93" s="8">
        <f>IFERROR(Cleandata_table3[[#This Row],[Population 20 to 64 years in civilian labor force]]/Cleandata_table3[[#This Row],[Population 20 to 64 years for whom poverty status is determined]],"")</f>
        <v>0.92802056555269918</v>
      </c>
      <c r="AJ93" s="10">
        <f>IFERROR(Cleandata_table3[[#This Row],[Families with income in the past 12 months below poverty level]]/Cleandata_table3[[#This Row],[Families for whom poverty status is determined]],"")</f>
        <v>0</v>
      </c>
      <c r="AK93" s="8">
        <f>IFERROR(Cleandata_table3[[#This Row],[Population 20 to 64 years employed]]/Cleandata_table3[[#This Row],[Population 20 to 64 years for whom poverty status is determined]],"")</f>
        <v>0.92802056555269918</v>
      </c>
      <c r="AL93" s="8">
        <f>IFERROR(Cleandata_table3[[#This Row],[Population 20 to 64 years not in labor force]]/Cleandata_table3[[#This Row],[Population 20 to 64 years for whom poverty status is determined]],"")</f>
        <v>7.1979434447300775E-2</v>
      </c>
      <c r="AM93" s="10">
        <f>IFERROR(Cleandata_table3[[#This Row],[Married-couple family with related children of the householder under 18 years below poverty]]/Cleandata_table3[[#This Row],[Families for whom poverty status is determined]],"")</f>
        <v>0</v>
      </c>
      <c r="AN93" s="10">
        <f>IFERROR(Cleandata_table3[[#This Row],[Married-couple family without related children of the householder under 18 years below poverty]]/Cleandata_table3[[#This Row],[Families for whom poverty status is determined]],"")</f>
        <v>0</v>
      </c>
      <c r="AO93" s="10">
        <f>IFERROR(Cleandata_table3[[#This Row],[Single parents with related children of the householder under 18 years below poverty]]/Cleandata_table3[[#This Row],[Families for whom poverty status is determined]],"")</f>
        <v>0</v>
      </c>
      <c r="AP93" s="10">
        <f>IFERROR(Cleandata_table3[[#This Row],[Other family below poverty]]/Cleandata_table3[[#This Row],[Families for whom poverty status is determined]],"")</f>
        <v>0</v>
      </c>
      <c r="AQ93" s="6">
        <f>IFERROR(Cleandata_table3[[#This Row],[Population 16 years and over in civilian labor force unemployed]]/Cleandata_table3[[#This Row],[Population 16 years and over in civilian labor force]],"")</f>
        <v>0</v>
      </c>
      <c r="AR93" s="6">
        <f>IFERROR((Cleandata_table3[[#This Row],[Population 16 years and over in civilian labor force]]-Cleandata_table3[[#This Row],[Population 16 years and over in civilian labor force unemployed]])/Cleandata_table3[[#This Row],[Population 16 years and over]],"")</f>
        <v>0.78251599147121531</v>
      </c>
      <c r="AS93" s="6">
        <f>IFERROR(Cleandata_table3[[#This Row],[Population 16 years and over in civilian labor force]]/Cleandata_table3[[#This Row],[Population 16 years and over]],"")</f>
        <v>0.78251599147121531</v>
      </c>
      <c r="AT93" s="6">
        <f>IFERROR(Cleandata_table3[[#This Row],[Population 16 years and over not in labor force]]/Cleandata_table3[[#This Row],[Population 16 years and over]],"")</f>
        <v>0.21748400852878466</v>
      </c>
      <c r="AU93" t="str">
        <f>Cleandata_table3[[#This Row],[Neighborhood Name]]&amp; " | " &amp;Cleandata_table3[[#This Row],[Neighborhood Subtype]]</f>
        <v>Greater Duwamish | Manufacturing Industrial</v>
      </c>
      <c r="AV93" t="s">
        <v>107</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3"/>
  <sheetViews>
    <sheetView topLeftCell="AG1" workbookViewId="0">
      <selection activeCell="AJ25" sqref="AJ25"/>
    </sheetView>
  </sheetViews>
  <sheetFormatPr defaultRowHeight="14.5" x14ac:dyDescent="0.35"/>
  <cols>
    <col min="1" max="1" width="31.90625" bestFit="1" customWidth="1"/>
    <col min="2" max="2" width="19.6328125" bestFit="1" customWidth="1"/>
    <col min="3" max="3" width="22.08984375" customWidth="1"/>
    <col min="4" max="4" width="28.7265625" style="2" bestFit="1" customWidth="1"/>
    <col min="5" max="5" width="44" style="2" bestFit="1" customWidth="1"/>
    <col min="6" max="6" width="46.6328125" style="2" bestFit="1" customWidth="1"/>
    <col min="7" max="7" width="57" style="3" bestFit="1" customWidth="1"/>
    <col min="8" max="8" width="47.08984375" style="2" bestFit="1" customWidth="1"/>
    <col min="9" max="9" width="43.90625" style="2" bestFit="1" customWidth="1"/>
    <col min="10" max="10" width="38.54296875" style="2" bestFit="1" customWidth="1"/>
    <col min="11" max="14" width="38.90625" style="3" customWidth="1"/>
    <col min="15" max="15" width="40.453125" style="3" customWidth="1"/>
    <col min="16" max="16" width="42.6328125" style="3" customWidth="1"/>
    <col min="17" max="17" width="57" style="3" bestFit="1" customWidth="1"/>
    <col min="18" max="18" width="83.54296875" style="3" bestFit="1" customWidth="1"/>
    <col min="19" max="20" width="46.6328125" style="4" customWidth="1"/>
    <col min="21" max="21" width="29.08984375" style="4" bestFit="1" customWidth="1"/>
    <col min="22" max="22" width="58.54296875" style="4" bestFit="1" customWidth="1"/>
    <col min="23" max="23" width="37.453125" style="4" bestFit="1" customWidth="1"/>
    <col min="24" max="24" width="32.90625" style="4" customWidth="1"/>
    <col min="25" max="25" width="45.36328125" style="4" customWidth="1"/>
    <col min="26" max="26" width="38.08984375" style="4" customWidth="1"/>
    <col min="27" max="27" width="41.6328125" style="4" customWidth="1"/>
    <col min="28" max="28" width="46.6328125" style="4" customWidth="1"/>
    <col min="29" max="29" width="39" style="4" customWidth="1"/>
    <col min="30" max="30" width="49.90625" style="4" bestFit="1" customWidth="1"/>
    <col min="31" max="31" width="35" style="4" customWidth="1"/>
    <col min="32" max="32" width="46.6328125" style="4" customWidth="1"/>
    <col min="33" max="33" width="46.6328125" style="7" customWidth="1"/>
    <col min="34" max="34" width="28.453125" style="7" bestFit="1" customWidth="1"/>
    <col min="35" max="35" width="31.54296875" style="7" bestFit="1" customWidth="1"/>
    <col min="36" max="36" width="21.90625" style="9" bestFit="1" customWidth="1"/>
    <col min="37" max="37" width="25.54296875" style="7" bestFit="1" customWidth="1"/>
    <col min="38" max="38" width="18.54296875" style="7" bestFit="1" customWidth="1"/>
    <col min="39" max="39" width="42.36328125" style="9" bestFit="1" customWidth="1"/>
    <col min="40" max="40" width="45.54296875" style="9" bestFit="1" customWidth="1"/>
    <col min="41" max="41" width="49.453125" style="9" bestFit="1" customWidth="1"/>
    <col min="42" max="42" width="29.90625" style="9" bestFit="1" customWidth="1"/>
    <col min="43" max="43" width="26.36328125" style="5" bestFit="1" customWidth="1"/>
    <col min="44" max="44" width="23.453125" style="5" bestFit="1" customWidth="1"/>
    <col min="45" max="45" width="29.54296875" style="5" bestFit="1" customWidth="1"/>
    <col min="46" max="46" width="17.08984375" style="5" customWidth="1"/>
    <col min="47" max="47" width="46.08984375" customWidth="1"/>
    <col min="48" max="48" width="14.08984375" bestFit="1" customWidth="1"/>
  </cols>
  <sheetData>
    <row r="1" spans="1:48" x14ac:dyDescent="0.35">
      <c r="A1" t="s">
        <v>69</v>
      </c>
      <c r="B1" t="s">
        <v>70</v>
      </c>
      <c r="C1" t="s">
        <v>71</v>
      </c>
      <c r="D1" s="2" t="s">
        <v>14</v>
      </c>
      <c r="E1" s="2" t="s">
        <v>72</v>
      </c>
      <c r="F1" s="2" t="s">
        <v>73</v>
      </c>
      <c r="G1" s="3" t="s">
        <v>74</v>
      </c>
      <c r="H1" s="2" t="s">
        <v>75</v>
      </c>
      <c r="I1" s="2" t="s">
        <v>23</v>
      </c>
      <c r="J1" s="2" t="s">
        <v>25</v>
      </c>
      <c r="K1" s="3" t="s">
        <v>27</v>
      </c>
      <c r="L1" s="3" t="s">
        <v>29</v>
      </c>
      <c r="M1" s="3" t="s">
        <v>31</v>
      </c>
      <c r="N1" s="3" t="s">
        <v>33</v>
      </c>
      <c r="O1" s="3" t="s">
        <v>35</v>
      </c>
      <c r="P1" s="3" t="s">
        <v>76</v>
      </c>
      <c r="Q1" s="3" t="s">
        <v>77</v>
      </c>
      <c r="R1" s="3" t="s">
        <v>41</v>
      </c>
      <c r="S1" s="4" t="s">
        <v>43</v>
      </c>
      <c r="T1" s="4" t="s">
        <v>45</v>
      </c>
      <c r="U1" s="4" t="s">
        <v>47</v>
      </c>
      <c r="V1" s="4" t="s">
        <v>78</v>
      </c>
      <c r="W1" s="4" t="s">
        <v>79</v>
      </c>
      <c r="X1" s="4" t="s">
        <v>80</v>
      </c>
      <c r="Y1" s="4" t="s">
        <v>81</v>
      </c>
      <c r="Z1" s="4" t="s">
        <v>82</v>
      </c>
      <c r="AA1" s="4" t="s">
        <v>83</v>
      </c>
      <c r="AB1" s="4" t="s">
        <v>84</v>
      </c>
      <c r="AC1" s="4" t="s">
        <v>85</v>
      </c>
      <c r="AD1" s="4" t="s">
        <v>86</v>
      </c>
      <c r="AE1" s="4" t="s">
        <v>87</v>
      </c>
      <c r="AF1" s="4" t="s">
        <v>88</v>
      </c>
      <c r="AG1" s="7" t="s">
        <v>89</v>
      </c>
      <c r="AH1" s="7" t="s">
        <v>90</v>
      </c>
      <c r="AI1" s="7" t="s">
        <v>91</v>
      </c>
      <c r="AJ1" s="9" t="s">
        <v>92</v>
      </c>
      <c r="AK1" s="7" t="s">
        <v>93</v>
      </c>
      <c r="AL1" s="7" t="s">
        <v>94</v>
      </c>
      <c r="AM1" s="9" t="s">
        <v>95</v>
      </c>
      <c r="AN1" s="9" t="s">
        <v>96</v>
      </c>
      <c r="AO1" s="9" t="s">
        <v>97</v>
      </c>
      <c r="AP1" s="9" t="s">
        <v>48</v>
      </c>
      <c r="AQ1" s="5" t="s">
        <v>98</v>
      </c>
      <c r="AR1" s="5" t="s">
        <v>99</v>
      </c>
      <c r="AS1" s="5" t="s">
        <v>100</v>
      </c>
      <c r="AT1" s="5" t="s">
        <v>101</v>
      </c>
      <c r="AU1" t="s">
        <v>102</v>
      </c>
      <c r="AV1" t="s">
        <v>103</v>
      </c>
    </row>
    <row r="2" spans="1:48" x14ac:dyDescent="0.35">
      <c r="A2" t="s">
        <v>104</v>
      </c>
      <c r="B2" t="s">
        <v>105</v>
      </c>
      <c r="C2" t="s">
        <v>106</v>
      </c>
      <c r="D2" s="17">
        <v>14516</v>
      </c>
      <c r="E2" s="17">
        <v>3751</v>
      </c>
      <c r="F2" s="17">
        <v>10745</v>
      </c>
      <c r="G2" s="17">
        <v>574</v>
      </c>
      <c r="H2" s="17">
        <v>17039</v>
      </c>
      <c r="I2" s="17">
        <v>670</v>
      </c>
      <c r="J2" s="17">
        <v>717</v>
      </c>
      <c r="K2" s="17">
        <v>376</v>
      </c>
      <c r="L2" s="17">
        <v>426</v>
      </c>
      <c r="M2" s="17">
        <v>594</v>
      </c>
      <c r="N2" s="17">
        <v>168</v>
      </c>
      <c r="O2" s="17">
        <v>14088</v>
      </c>
      <c r="P2" s="17">
        <v>3765</v>
      </c>
      <c r="Q2" s="17">
        <v>156</v>
      </c>
      <c r="R2" s="17">
        <v>0</v>
      </c>
      <c r="S2" s="17">
        <v>29</v>
      </c>
      <c r="T2" s="17">
        <v>67</v>
      </c>
      <c r="U2" s="17">
        <v>60</v>
      </c>
      <c r="V2" s="17">
        <v>11633</v>
      </c>
      <c r="W2" s="17">
        <v>887</v>
      </c>
      <c r="X2" s="17">
        <v>9637</v>
      </c>
      <c r="Y2" s="17">
        <v>392</v>
      </c>
      <c r="Z2" s="17">
        <v>2951</v>
      </c>
      <c r="AA2" s="17">
        <v>10165</v>
      </c>
      <c r="AB2" s="17">
        <v>594</v>
      </c>
      <c r="AC2" s="17">
        <v>1448</v>
      </c>
      <c r="AD2" s="17">
        <v>293</v>
      </c>
      <c r="AE2" s="17">
        <v>528</v>
      </c>
      <c r="AF2" s="17">
        <v>202</v>
      </c>
      <c r="AG2" s="18">
        <v>7.624860311183701E-2</v>
      </c>
      <c r="AH2" s="18">
        <v>5.1942941465814067E-2</v>
      </c>
      <c r="AI2" s="18">
        <v>0.87380727241468237</v>
      </c>
      <c r="AJ2" s="19">
        <v>4.1434262948207172E-2</v>
      </c>
      <c r="AK2" s="18">
        <v>0.82841915241124386</v>
      </c>
      <c r="AL2" s="18">
        <v>0.12447348061549042</v>
      </c>
      <c r="AM2" s="19">
        <v>0</v>
      </c>
      <c r="AN2" s="19">
        <v>7.7025232403718459E-3</v>
      </c>
      <c r="AO2" s="19">
        <v>1.7795484727755644E-2</v>
      </c>
      <c r="AP2" s="19">
        <v>1.5936254980079681E-2</v>
      </c>
      <c r="AQ2" s="20">
        <v>5.3420195439739415E-2</v>
      </c>
      <c r="AR2" s="20">
        <v>0.70067511711215213</v>
      </c>
      <c r="AS2" s="20">
        <v>0.74021769082391842</v>
      </c>
      <c r="AT2" s="20">
        <v>0.25840451915128132</v>
      </c>
      <c r="AU2" s="21" t="s">
        <v>207</v>
      </c>
      <c r="AV2" s="21" t="s">
        <v>107</v>
      </c>
    </row>
    <row r="3" spans="1:48" x14ac:dyDescent="0.35">
      <c r="A3" t="s">
        <v>108</v>
      </c>
      <c r="B3" t="s">
        <v>105</v>
      </c>
      <c r="C3" t="s">
        <v>106</v>
      </c>
      <c r="D3" s="17">
        <v>12513</v>
      </c>
      <c r="E3" s="17">
        <v>3677</v>
      </c>
      <c r="F3" s="17">
        <v>8836</v>
      </c>
      <c r="G3" s="17">
        <v>259</v>
      </c>
      <c r="H3" s="17">
        <v>14445</v>
      </c>
      <c r="I3" s="17">
        <v>498</v>
      </c>
      <c r="J3" s="17">
        <v>824</v>
      </c>
      <c r="K3" s="17">
        <v>497</v>
      </c>
      <c r="L3" s="17">
        <v>287</v>
      </c>
      <c r="M3" s="17">
        <v>582</v>
      </c>
      <c r="N3" s="17">
        <v>119</v>
      </c>
      <c r="O3" s="17">
        <v>11638</v>
      </c>
      <c r="P3" s="17">
        <v>3442</v>
      </c>
      <c r="Q3" s="17">
        <v>169</v>
      </c>
      <c r="R3" s="17">
        <v>54</v>
      </c>
      <c r="S3" s="17">
        <v>28</v>
      </c>
      <c r="T3" s="17">
        <v>49</v>
      </c>
      <c r="U3" s="17">
        <v>38</v>
      </c>
      <c r="V3" s="17">
        <v>9389</v>
      </c>
      <c r="W3" s="17">
        <v>843</v>
      </c>
      <c r="X3" s="17">
        <v>7774</v>
      </c>
      <c r="Y3" s="17">
        <v>250</v>
      </c>
      <c r="Z3" s="17">
        <v>2807</v>
      </c>
      <c r="AA3" s="17">
        <v>7985</v>
      </c>
      <c r="AB3" s="17">
        <v>321</v>
      </c>
      <c r="AC3" s="17">
        <v>1404</v>
      </c>
      <c r="AD3" s="17">
        <v>522</v>
      </c>
      <c r="AE3" s="17">
        <v>211</v>
      </c>
      <c r="AF3" s="17">
        <v>71</v>
      </c>
      <c r="AG3" s="18">
        <v>8.9785919693258068E-2</v>
      </c>
      <c r="AH3" s="18">
        <v>2.6424546023794616E-2</v>
      </c>
      <c r="AI3" s="18">
        <v>0.85046330812653104</v>
      </c>
      <c r="AJ3" s="19">
        <v>4.9099360836722838E-2</v>
      </c>
      <c r="AK3" s="18">
        <v>0.82799020129939294</v>
      </c>
      <c r="AL3" s="18">
        <v>0.14953669187346896</v>
      </c>
      <c r="AM3" s="19">
        <v>1.568855316676351E-2</v>
      </c>
      <c r="AN3" s="19">
        <v>8.1348053457292267E-3</v>
      </c>
      <c r="AO3" s="19">
        <v>1.4235909355026147E-2</v>
      </c>
      <c r="AP3" s="19">
        <v>1.1040092969203951E-2</v>
      </c>
      <c r="AQ3" s="20">
        <v>2.931190583974649E-2</v>
      </c>
      <c r="AR3" s="20">
        <v>0.68544713497962118</v>
      </c>
      <c r="AS3" s="20">
        <v>0.70614560856709019</v>
      </c>
      <c r="AT3" s="20">
        <v>0.29385439143290976</v>
      </c>
      <c r="AU3" s="21" t="s">
        <v>208</v>
      </c>
      <c r="AV3" s="21" t="s">
        <v>107</v>
      </c>
    </row>
    <row r="4" spans="1:48" x14ac:dyDescent="0.35">
      <c r="A4" t="s">
        <v>109</v>
      </c>
      <c r="B4" t="s">
        <v>105</v>
      </c>
      <c r="C4" t="s">
        <v>110</v>
      </c>
      <c r="D4" s="17">
        <v>13260</v>
      </c>
      <c r="E4" s="17">
        <v>4753</v>
      </c>
      <c r="F4" s="17">
        <v>8507</v>
      </c>
      <c r="G4" s="17">
        <v>356</v>
      </c>
      <c r="H4" s="17">
        <v>15645</v>
      </c>
      <c r="I4" s="17">
        <v>676</v>
      </c>
      <c r="J4" s="17">
        <v>1105</v>
      </c>
      <c r="K4" s="17">
        <v>173</v>
      </c>
      <c r="L4" s="17">
        <v>291</v>
      </c>
      <c r="M4" s="17">
        <v>898</v>
      </c>
      <c r="N4" s="17">
        <v>118</v>
      </c>
      <c r="O4" s="17">
        <v>12384</v>
      </c>
      <c r="P4" s="17">
        <v>3478</v>
      </c>
      <c r="Q4" s="17">
        <v>242</v>
      </c>
      <c r="R4" s="17">
        <v>9</v>
      </c>
      <c r="S4" s="17">
        <v>49</v>
      </c>
      <c r="T4" s="17">
        <v>161</v>
      </c>
      <c r="U4" s="17">
        <v>23</v>
      </c>
      <c r="V4" s="17">
        <v>9295</v>
      </c>
      <c r="W4" s="17">
        <v>861</v>
      </c>
      <c r="X4" s="17">
        <v>7454</v>
      </c>
      <c r="Y4" s="17">
        <v>285</v>
      </c>
      <c r="Z4" s="17">
        <v>3261</v>
      </c>
      <c r="AA4" s="17">
        <v>7776</v>
      </c>
      <c r="AB4" s="17">
        <v>371</v>
      </c>
      <c r="AC4" s="17">
        <v>1519</v>
      </c>
      <c r="AD4" s="17">
        <v>490</v>
      </c>
      <c r="AE4" s="17">
        <v>322</v>
      </c>
      <c r="AF4" s="17">
        <v>86</v>
      </c>
      <c r="AG4" s="18">
        <v>9.263044647660032E-2</v>
      </c>
      <c r="AH4" s="18">
        <v>4.1409465020576131E-2</v>
      </c>
      <c r="AI4" s="18">
        <v>0.836578805809575</v>
      </c>
      <c r="AJ4" s="19">
        <v>6.9580218516388723E-2</v>
      </c>
      <c r="AK4" s="18">
        <v>0.80193652501344814</v>
      </c>
      <c r="AL4" s="18">
        <v>0.16342119419042497</v>
      </c>
      <c r="AM4" s="19">
        <v>2.5876940770557791E-3</v>
      </c>
      <c r="AN4" s="19">
        <v>1.4088556641748131E-2</v>
      </c>
      <c r="AO4" s="19">
        <v>4.6290971822886717E-2</v>
      </c>
      <c r="AP4" s="19">
        <v>6.6129959746981026E-3</v>
      </c>
      <c r="AQ4" s="20">
        <v>4.1847889972963445E-2</v>
      </c>
      <c r="AR4" s="20">
        <v>0.61470588235294121</v>
      </c>
      <c r="AS4" s="20">
        <v>0.64155354449472102</v>
      </c>
      <c r="AT4" s="20">
        <v>0.35844645550527904</v>
      </c>
      <c r="AU4" s="21" t="s">
        <v>209</v>
      </c>
      <c r="AV4" s="21" t="s">
        <v>107</v>
      </c>
    </row>
    <row r="5" spans="1:48" x14ac:dyDescent="0.35">
      <c r="A5" t="s">
        <v>111</v>
      </c>
      <c r="B5" t="s">
        <v>105</v>
      </c>
      <c r="C5" t="s">
        <v>110</v>
      </c>
      <c r="D5" s="17">
        <v>8798</v>
      </c>
      <c r="E5" s="17">
        <v>1895</v>
      </c>
      <c r="F5" s="17">
        <v>6903</v>
      </c>
      <c r="G5" s="17">
        <v>267</v>
      </c>
      <c r="H5" s="17">
        <v>9597</v>
      </c>
      <c r="I5" s="17">
        <v>631</v>
      </c>
      <c r="J5" s="17">
        <v>429</v>
      </c>
      <c r="K5" s="17">
        <v>145</v>
      </c>
      <c r="L5" s="17">
        <v>310</v>
      </c>
      <c r="M5" s="17">
        <v>411</v>
      </c>
      <c r="N5" s="17">
        <v>155</v>
      </c>
      <c r="O5" s="17">
        <v>7516</v>
      </c>
      <c r="P5" s="17">
        <v>1580</v>
      </c>
      <c r="Q5" s="17">
        <v>92</v>
      </c>
      <c r="R5" s="17">
        <v>0</v>
      </c>
      <c r="S5" s="17">
        <v>13</v>
      </c>
      <c r="T5" s="17">
        <v>13</v>
      </c>
      <c r="U5" s="17">
        <v>66</v>
      </c>
      <c r="V5" s="17">
        <v>7609</v>
      </c>
      <c r="W5" s="17">
        <v>712</v>
      </c>
      <c r="X5" s="17">
        <v>6339</v>
      </c>
      <c r="Y5" s="17">
        <v>201</v>
      </c>
      <c r="Z5" s="17">
        <v>2081</v>
      </c>
      <c r="AA5" s="17">
        <v>6601</v>
      </c>
      <c r="AB5" s="17">
        <v>301</v>
      </c>
      <c r="AC5" s="17">
        <v>1008</v>
      </c>
      <c r="AD5" s="17">
        <v>411</v>
      </c>
      <c r="AE5" s="17">
        <v>262</v>
      </c>
      <c r="AF5" s="17">
        <v>100</v>
      </c>
      <c r="AG5" s="18">
        <v>9.3573399921146008E-2</v>
      </c>
      <c r="AH5" s="18">
        <v>3.9690955915770335E-2</v>
      </c>
      <c r="AI5" s="18">
        <v>0.86752529898804043</v>
      </c>
      <c r="AJ5" s="19">
        <v>5.8227848101265821E-2</v>
      </c>
      <c r="AK5" s="18">
        <v>0.83309239059009066</v>
      </c>
      <c r="AL5" s="18">
        <v>0.13247470101195952</v>
      </c>
      <c r="AM5" s="19">
        <v>0</v>
      </c>
      <c r="AN5" s="19">
        <v>8.2278481012658233E-3</v>
      </c>
      <c r="AO5" s="19">
        <v>8.2278481012658233E-3</v>
      </c>
      <c r="AP5" s="19">
        <v>4.1772151898734178E-2</v>
      </c>
      <c r="AQ5" s="20">
        <v>3.867883528900478E-2</v>
      </c>
      <c r="AR5" s="20">
        <v>0.75426233234826101</v>
      </c>
      <c r="AS5" s="20">
        <v>0.7846101386678791</v>
      </c>
      <c r="AT5" s="20">
        <v>0.21538986133212093</v>
      </c>
      <c r="AU5" s="21" t="s">
        <v>210</v>
      </c>
      <c r="AV5" s="21" t="s">
        <v>107</v>
      </c>
    </row>
    <row r="6" spans="1:48" x14ac:dyDescent="0.35">
      <c r="A6" t="s">
        <v>112</v>
      </c>
      <c r="B6" t="s">
        <v>105</v>
      </c>
      <c r="C6" t="s">
        <v>110</v>
      </c>
      <c r="D6" s="17">
        <v>23396</v>
      </c>
      <c r="E6" s="17">
        <v>4985</v>
      </c>
      <c r="F6" s="17">
        <v>18381</v>
      </c>
      <c r="G6" s="17">
        <v>565</v>
      </c>
      <c r="H6" s="17">
        <v>26912</v>
      </c>
      <c r="I6" s="17">
        <v>854</v>
      </c>
      <c r="J6" s="17">
        <v>371</v>
      </c>
      <c r="K6" s="17">
        <v>241</v>
      </c>
      <c r="L6" s="17">
        <v>395</v>
      </c>
      <c r="M6" s="17">
        <v>417</v>
      </c>
      <c r="N6" s="17">
        <v>335</v>
      </c>
      <c r="O6" s="17">
        <v>24299</v>
      </c>
      <c r="P6" s="17">
        <v>6376</v>
      </c>
      <c r="Q6" s="17">
        <v>117</v>
      </c>
      <c r="R6" s="17">
        <v>35</v>
      </c>
      <c r="S6" s="17">
        <v>12</v>
      </c>
      <c r="T6" s="17">
        <v>65</v>
      </c>
      <c r="U6" s="17">
        <v>5</v>
      </c>
      <c r="V6" s="17">
        <v>19323</v>
      </c>
      <c r="W6" s="17">
        <v>886</v>
      </c>
      <c r="X6" s="17">
        <v>16629</v>
      </c>
      <c r="Y6" s="17">
        <v>324</v>
      </c>
      <c r="Z6" s="17">
        <v>2613</v>
      </c>
      <c r="AA6" s="17">
        <v>17105</v>
      </c>
      <c r="AB6" s="17">
        <v>456</v>
      </c>
      <c r="AC6" s="17">
        <v>2188</v>
      </c>
      <c r="AD6" s="17">
        <v>430</v>
      </c>
      <c r="AE6" s="17">
        <v>476</v>
      </c>
      <c r="AF6" s="17">
        <v>132</v>
      </c>
      <c r="AG6" s="18">
        <v>4.5852093360244268E-2</v>
      </c>
      <c r="AH6" s="18">
        <v>2.782812043262204E-2</v>
      </c>
      <c r="AI6" s="18">
        <v>0.88521451120426431</v>
      </c>
      <c r="AJ6" s="19">
        <v>1.8350062735257213E-2</v>
      </c>
      <c r="AK6" s="18">
        <v>0.86058065517776738</v>
      </c>
      <c r="AL6" s="18">
        <v>0.11323293484448585</v>
      </c>
      <c r="AM6" s="19">
        <v>5.4893350062735257E-3</v>
      </c>
      <c r="AN6" s="19">
        <v>1.8820577164366374E-3</v>
      </c>
      <c r="AO6" s="19">
        <v>1.019447929736512E-2</v>
      </c>
      <c r="AP6" s="19">
        <v>7.8419071518193227E-4</v>
      </c>
      <c r="AQ6" s="20">
        <v>3.0738262336107939E-2</v>
      </c>
      <c r="AR6" s="20">
        <v>0.76149769191314753</v>
      </c>
      <c r="AS6" s="20">
        <v>0.78564711916566932</v>
      </c>
      <c r="AT6" s="20">
        <v>0.21307061036074543</v>
      </c>
      <c r="AU6" s="21" t="s">
        <v>211</v>
      </c>
      <c r="AV6" s="21" t="s">
        <v>107</v>
      </c>
    </row>
    <row r="7" spans="1:48" x14ac:dyDescent="0.35">
      <c r="A7" t="s">
        <v>113</v>
      </c>
      <c r="B7" t="s">
        <v>105</v>
      </c>
      <c r="C7" t="s">
        <v>110</v>
      </c>
      <c r="D7" s="17">
        <v>15265</v>
      </c>
      <c r="E7" s="17">
        <v>3477</v>
      </c>
      <c r="F7" s="17">
        <v>11779</v>
      </c>
      <c r="G7" s="17">
        <v>498</v>
      </c>
      <c r="H7" s="17">
        <v>17425</v>
      </c>
      <c r="I7" s="17">
        <v>513</v>
      </c>
      <c r="J7" s="17">
        <v>784</v>
      </c>
      <c r="K7" s="17">
        <v>338</v>
      </c>
      <c r="L7" s="17">
        <v>463</v>
      </c>
      <c r="M7" s="17">
        <v>431</v>
      </c>
      <c r="N7" s="17">
        <v>96</v>
      </c>
      <c r="O7" s="17">
        <v>14800</v>
      </c>
      <c r="P7" s="17">
        <v>3726</v>
      </c>
      <c r="Q7" s="17">
        <v>92</v>
      </c>
      <c r="R7" s="17">
        <v>7</v>
      </c>
      <c r="S7" s="17">
        <v>9</v>
      </c>
      <c r="T7" s="17">
        <v>50</v>
      </c>
      <c r="U7" s="17">
        <v>26</v>
      </c>
      <c r="V7" s="17">
        <v>12509</v>
      </c>
      <c r="W7" s="17">
        <v>966</v>
      </c>
      <c r="X7" s="17">
        <v>10702</v>
      </c>
      <c r="Y7" s="17">
        <v>289</v>
      </c>
      <c r="Z7" s="17">
        <v>2625</v>
      </c>
      <c r="AA7" s="17">
        <v>11200</v>
      </c>
      <c r="AB7" s="17">
        <v>441</v>
      </c>
      <c r="AC7" s="17">
        <v>1300</v>
      </c>
      <c r="AD7" s="17">
        <v>525</v>
      </c>
      <c r="AE7" s="17">
        <v>498</v>
      </c>
      <c r="AF7" s="17">
        <v>152</v>
      </c>
      <c r="AG7" s="18">
        <v>7.7224398433128144E-2</v>
      </c>
      <c r="AH7" s="18">
        <v>4.4464285714285713E-2</v>
      </c>
      <c r="AI7" s="18">
        <v>0.89535534415221041</v>
      </c>
      <c r="AJ7" s="19">
        <v>2.4691358024691357E-2</v>
      </c>
      <c r="AK7" s="18">
        <v>0.85554400831401389</v>
      </c>
      <c r="AL7" s="18">
        <v>0.10392517387481014</v>
      </c>
      <c r="AM7" s="19">
        <v>1.878690284487386E-3</v>
      </c>
      <c r="AN7" s="19">
        <v>2.4154589371980675E-3</v>
      </c>
      <c r="AO7" s="19">
        <v>1.3419216317767043E-2</v>
      </c>
      <c r="AP7" s="19">
        <v>6.9779924852388618E-3</v>
      </c>
      <c r="AQ7" s="20">
        <v>4.2278631462772734E-2</v>
      </c>
      <c r="AR7" s="20">
        <v>0.73901080904028826</v>
      </c>
      <c r="AS7" s="20">
        <v>0.7716344579102522</v>
      </c>
      <c r="AT7" s="20">
        <v>0.22777595807402554</v>
      </c>
      <c r="AU7" s="21" t="s">
        <v>212</v>
      </c>
      <c r="AV7" s="21" t="s">
        <v>107</v>
      </c>
    </row>
    <row r="8" spans="1:48" x14ac:dyDescent="0.35">
      <c r="A8" t="s">
        <v>114</v>
      </c>
      <c r="B8" t="s">
        <v>105</v>
      </c>
      <c r="C8" t="s">
        <v>110</v>
      </c>
      <c r="D8" s="17">
        <v>8986</v>
      </c>
      <c r="E8" s="17">
        <v>2220</v>
      </c>
      <c r="F8" s="17">
        <v>6766</v>
      </c>
      <c r="G8" s="17">
        <v>316</v>
      </c>
      <c r="H8" s="17">
        <v>10866</v>
      </c>
      <c r="I8" s="17">
        <v>512</v>
      </c>
      <c r="J8" s="17">
        <v>325</v>
      </c>
      <c r="K8" s="17">
        <v>103</v>
      </c>
      <c r="L8" s="17">
        <v>126</v>
      </c>
      <c r="M8" s="17">
        <v>156</v>
      </c>
      <c r="N8" s="17">
        <v>89</v>
      </c>
      <c r="O8" s="17">
        <v>9555</v>
      </c>
      <c r="P8" s="17">
        <v>2632</v>
      </c>
      <c r="Q8" s="17">
        <v>127</v>
      </c>
      <c r="R8" s="17">
        <v>51</v>
      </c>
      <c r="S8" s="17">
        <v>0</v>
      </c>
      <c r="T8" s="17">
        <v>76</v>
      </c>
      <c r="U8" s="17">
        <v>0</v>
      </c>
      <c r="V8" s="17">
        <v>7420</v>
      </c>
      <c r="W8" s="17">
        <v>433</v>
      </c>
      <c r="X8" s="17">
        <v>6080</v>
      </c>
      <c r="Y8" s="17">
        <v>264</v>
      </c>
      <c r="Z8" s="17">
        <v>1311</v>
      </c>
      <c r="AA8" s="17">
        <v>6364</v>
      </c>
      <c r="AB8" s="17">
        <v>342</v>
      </c>
      <c r="AC8" s="17">
        <v>1056</v>
      </c>
      <c r="AD8" s="17">
        <v>91</v>
      </c>
      <c r="AE8" s="17">
        <v>284</v>
      </c>
      <c r="AF8" s="17">
        <v>78</v>
      </c>
      <c r="AG8" s="18">
        <v>5.8355795148247978E-2</v>
      </c>
      <c r="AH8" s="18">
        <v>4.4626021370207415E-2</v>
      </c>
      <c r="AI8" s="18">
        <v>0.85768194070080861</v>
      </c>
      <c r="AJ8" s="19">
        <v>4.8252279635258362E-2</v>
      </c>
      <c r="AK8" s="18">
        <v>0.81940700808625333</v>
      </c>
      <c r="AL8" s="18">
        <v>0.14231805929919136</v>
      </c>
      <c r="AM8" s="19">
        <v>1.9376899696048631E-2</v>
      </c>
      <c r="AN8" s="19">
        <v>0</v>
      </c>
      <c r="AO8" s="19">
        <v>2.8875379939209727E-2</v>
      </c>
      <c r="AP8" s="19">
        <v>0</v>
      </c>
      <c r="AQ8" s="20">
        <v>4.6704108779190068E-2</v>
      </c>
      <c r="AR8" s="20">
        <v>0.71778321833963943</v>
      </c>
      <c r="AS8" s="20">
        <v>0.7529490318272869</v>
      </c>
      <c r="AT8" s="20">
        <v>0.2470509681727131</v>
      </c>
      <c r="AU8" s="21" t="s">
        <v>213</v>
      </c>
      <c r="AV8" s="21" t="s">
        <v>107</v>
      </c>
    </row>
    <row r="9" spans="1:48" x14ac:dyDescent="0.35">
      <c r="A9" t="s">
        <v>115</v>
      </c>
      <c r="B9" t="s">
        <v>105</v>
      </c>
      <c r="C9" t="s">
        <v>116</v>
      </c>
      <c r="D9" s="17">
        <v>10485</v>
      </c>
      <c r="E9" s="17">
        <v>2784</v>
      </c>
      <c r="F9" s="17">
        <v>7654</v>
      </c>
      <c r="G9" s="17">
        <v>343</v>
      </c>
      <c r="H9" s="17">
        <v>12716</v>
      </c>
      <c r="I9" s="17">
        <v>252</v>
      </c>
      <c r="J9" s="17">
        <v>601</v>
      </c>
      <c r="K9" s="17">
        <v>83</v>
      </c>
      <c r="L9" s="17">
        <v>141</v>
      </c>
      <c r="M9" s="17">
        <v>144</v>
      </c>
      <c r="N9" s="17">
        <v>112</v>
      </c>
      <c r="O9" s="17">
        <v>11383</v>
      </c>
      <c r="P9" s="17">
        <v>3294</v>
      </c>
      <c r="Q9" s="17">
        <v>136</v>
      </c>
      <c r="R9" s="17">
        <v>30</v>
      </c>
      <c r="S9" s="17">
        <v>0</v>
      </c>
      <c r="T9" s="17">
        <v>36</v>
      </c>
      <c r="U9" s="17">
        <v>70</v>
      </c>
      <c r="V9" s="17">
        <v>8116</v>
      </c>
      <c r="W9" s="17">
        <v>690</v>
      </c>
      <c r="X9" s="17">
        <v>6776</v>
      </c>
      <c r="Y9" s="17">
        <v>278</v>
      </c>
      <c r="Z9" s="17">
        <v>1333</v>
      </c>
      <c r="AA9" s="17">
        <v>7119</v>
      </c>
      <c r="AB9" s="17">
        <v>444</v>
      </c>
      <c r="AC9" s="17">
        <v>950</v>
      </c>
      <c r="AD9" s="17">
        <v>246</v>
      </c>
      <c r="AE9" s="17">
        <v>343</v>
      </c>
      <c r="AF9" s="17">
        <v>166</v>
      </c>
      <c r="AG9" s="18">
        <v>8.5017249876786591E-2</v>
      </c>
      <c r="AH9" s="18">
        <v>4.8180924287118974E-2</v>
      </c>
      <c r="AI9" s="18">
        <v>0.87715623459832426</v>
      </c>
      <c r="AJ9" s="19">
        <v>4.1287188828172436E-2</v>
      </c>
      <c r="AK9" s="18">
        <v>0.83489403647116811</v>
      </c>
      <c r="AL9" s="18">
        <v>0.11705273533760473</v>
      </c>
      <c r="AM9" s="19">
        <v>9.1074681238615673E-3</v>
      </c>
      <c r="AN9" s="19">
        <v>0</v>
      </c>
      <c r="AO9" s="19">
        <v>1.092896174863388E-2</v>
      </c>
      <c r="AP9" s="19">
        <v>2.1250758955676987E-2</v>
      </c>
      <c r="AQ9" s="20">
        <v>4.4813169584530965E-2</v>
      </c>
      <c r="AR9" s="20">
        <v>0.69728183118741061</v>
      </c>
      <c r="AS9" s="20">
        <v>0.72999523128278498</v>
      </c>
      <c r="AT9" s="20">
        <v>0.26552217453505006</v>
      </c>
      <c r="AU9" s="21" t="s">
        <v>214</v>
      </c>
      <c r="AV9" s="21" t="s">
        <v>107</v>
      </c>
    </row>
    <row r="10" spans="1:48" x14ac:dyDescent="0.35">
      <c r="A10" t="s">
        <v>117</v>
      </c>
      <c r="B10" t="s">
        <v>105</v>
      </c>
      <c r="C10" t="s">
        <v>116</v>
      </c>
      <c r="D10" s="17">
        <v>12384</v>
      </c>
      <c r="E10" s="17">
        <v>2446</v>
      </c>
      <c r="F10" s="17">
        <v>9938</v>
      </c>
      <c r="G10" s="17">
        <v>173</v>
      </c>
      <c r="H10" s="17">
        <v>14552</v>
      </c>
      <c r="I10" s="17">
        <v>402</v>
      </c>
      <c r="J10" s="17">
        <v>522</v>
      </c>
      <c r="K10" s="17">
        <v>48</v>
      </c>
      <c r="L10" s="17">
        <v>159</v>
      </c>
      <c r="M10" s="17">
        <v>258</v>
      </c>
      <c r="N10" s="17">
        <v>107</v>
      </c>
      <c r="O10" s="17">
        <v>13056</v>
      </c>
      <c r="P10" s="17">
        <v>3363</v>
      </c>
      <c r="Q10" s="17">
        <v>107</v>
      </c>
      <c r="R10" s="17">
        <v>0</v>
      </c>
      <c r="S10" s="17">
        <v>0</v>
      </c>
      <c r="T10" s="17">
        <v>55</v>
      </c>
      <c r="U10" s="17">
        <v>52</v>
      </c>
      <c r="V10" s="17">
        <v>10946</v>
      </c>
      <c r="W10" s="17">
        <v>750</v>
      </c>
      <c r="X10" s="17">
        <v>9445</v>
      </c>
      <c r="Y10" s="17">
        <v>307</v>
      </c>
      <c r="Z10" s="17">
        <v>1496</v>
      </c>
      <c r="AA10" s="17">
        <v>9609</v>
      </c>
      <c r="AB10" s="17">
        <v>376</v>
      </c>
      <c r="AC10" s="17">
        <v>1337</v>
      </c>
      <c r="AD10" s="17">
        <v>374</v>
      </c>
      <c r="AE10" s="17">
        <v>164</v>
      </c>
      <c r="AF10" s="17">
        <v>69</v>
      </c>
      <c r="AG10" s="18">
        <v>6.8518180157135025E-2</v>
      </c>
      <c r="AH10" s="18">
        <v>1.7067332708918723E-2</v>
      </c>
      <c r="AI10" s="18">
        <v>0.87785492417321398</v>
      </c>
      <c r="AJ10" s="19">
        <v>3.1816830211121021E-2</v>
      </c>
      <c r="AK10" s="18">
        <v>0.86287228211218714</v>
      </c>
      <c r="AL10" s="18">
        <v>0.12214507582678603</v>
      </c>
      <c r="AM10" s="19">
        <v>0</v>
      </c>
      <c r="AN10" s="19">
        <v>0</v>
      </c>
      <c r="AO10" s="19">
        <v>1.6354445435622957E-2</v>
      </c>
      <c r="AP10" s="19">
        <v>1.5462384775498068E-2</v>
      </c>
      <c r="AQ10" s="20">
        <v>1.7407929160796941E-2</v>
      </c>
      <c r="AR10" s="20">
        <v>0.78851744186046513</v>
      </c>
      <c r="AS10" s="20">
        <v>0.80248708010335912</v>
      </c>
      <c r="AT10" s="20">
        <v>0.19751291989664083</v>
      </c>
      <c r="AU10" s="21" t="s">
        <v>215</v>
      </c>
      <c r="AV10" s="21" t="s">
        <v>107</v>
      </c>
    </row>
    <row r="11" spans="1:48" x14ac:dyDescent="0.35">
      <c r="A11" t="s">
        <v>118</v>
      </c>
      <c r="B11" t="s">
        <v>105</v>
      </c>
      <c r="C11" t="s">
        <v>116</v>
      </c>
      <c r="D11" s="17">
        <v>13443</v>
      </c>
      <c r="E11" s="17">
        <v>3746</v>
      </c>
      <c r="F11" s="17">
        <v>9638</v>
      </c>
      <c r="G11" s="17">
        <v>307</v>
      </c>
      <c r="H11" s="17">
        <v>16151</v>
      </c>
      <c r="I11" s="17">
        <v>221</v>
      </c>
      <c r="J11" s="17">
        <v>404</v>
      </c>
      <c r="K11" s="17">
        <v>172</v>
      </c>
      <c r="L11" s="17">
        <v>67</v>
      </c>
      <c r="M11" s="17">
        <v>164</v>
      </c>
      <c r="N11" s="17">
        <v>110</v>
      </c>
      <c r="O11" s="17">
        <v>15013</v>
      </c>
      <c r="P11" s="17">
        <v>3652</v>
      </c>
      <c r="Q11" s="17">
        <v>95</v>
      </c>
      <c r="R11" s="17">
        <v>11</v>
      </c>
      <c r="S11" s="17">
        <v>14</v>
      </c>
      <c r="T11" s="17">
        <v>70</v>
      </c>
      <c r="U11" s="17">
        <v>0</v>
      </c>
      <c r="V11" s="17">
        <v>10227</v>
      </c>
      <c r="W11" s="17">
        <v>323</v>
      </c>
      <c r="X11" s="17">
        <v>8635</v>
      </c>
      <c r="Y11" s="17">
        <v>152</v>
      </c>
      <c r="Z11" s="17">
        <v>1138</v>
      </c>
      <c r="AA11" s="17">
        <v>8883</v>
      </c>
      <c r="AB11" s="17">
        <v>152</v>
      </c>
      <c r="AC11" s="17">
        <v>1285</v>
      </c>
      <c r="AD11" s="17">
        <v>171</v>
      </c>
      <c r="AE11" s="17">
        <v>248</v>
      </c>
      <c r="AF11" s="17">
        <v>0</v>
      </c>
      <c r="AG11" s="18">
        <v>3.1583064437273885E-2</v>
      </c>
      <c r="AH11" s="18">
        <v>2.7918496003602387E-2</v>
      </c>
      <c r="AI11" s="18">
        <v>0.86858316221765919</v>
      </c>
      <c r="AJ11" s="19">
        <v>2.6013143483023003E-2</v>
      </c>
      <c r="AK11" s="18">
        <v>0.84433362667448908</v>
      </c>
      <c r="AL11" s="18">
        <v>0.12564779505231249</v>
      </c>
      <c r="AM11" s="19">
        <v>3.0120481927710845E-3</v>
      </c>
      <c r="AN11" s="19">
        <v>3.8335158817086527E-3</v>
      </c>
      <c r="AO11" s="19">
        <v>1.9167579408543262E-2</v>
      </c>
      <c r="AP11" s="19">
        <v>0</v>
      </c>
      <c r="AQ11" s="20">
        <v>3.1853081552189251E-2</v>
      </c>
      <c r="AR11" s="20">
        <v>0.69411589674923757</v>
      </c>
      <c r="AS11" s="20">
        <v>0.7169530610726772</v>
      </c>
      <c r="AT11" s="20">
        <v>0.27865803764040764</v>
      </c>
      <c r="AU11" s="21" t="s">
        <v>216</v>
      </c>
      <c r="AV11" s="21" t="s">
        <v>107</v>
      </c>
    </row>
    <row r="12" spans="1:48" x14ac:dyDescent="0.35">
      <c r="A12" t="s">
        <v>116</v>
      </c>
      <c r="B12" t="s">
        <v>105</v>
      </c>
      <c r="C12" t="s">
        <v>116</v>
      </c>
      <c r="D12" s="17">
        <v>10105</v>
      </c>
      <c r="E12" s="17">
        <v>1484</v>
      </c>
      <c r="F12" s="17">
        <v>8621</v>
      </c>
      <c r="G12" s="17">
        <v>557</v>
      </c>
      <c r="H12" s="17">
        <v>11165</v>
      </c>
      <c r="I12" s="17">
        <v>470</v>
      </c>
      <c r="J12" s="17">
        <v>261</v>
      </c>
      <c r="K12" s="17">
        <v>110</v>
      </c>
      <c r="L12" s="17">
        <v>62</v>
      </c>
      <c r="M12" s="17">
        <v>106</v>
      </c>
      <c r="N12" s="17">
        <v>23</v>
      </c>
      <c r="O12" s="17">
        <v>10133</v>
      </c>
      <c r="P12" s="17">
        <v>1641</v>
      </c>
      <c r="Q12" s="17">
        <v>23</v>
      </c>
      <c r="R12" s="17">
        <v>0</v>
      </c>
      <c r="S12" s="17">
        <v>0</v>
      </c>
      <c r="T12" s="17">
        <v>23</v>
      </c>
      <c r="U12" s="17">
        <v>0</v>
      </c>
      <c r="V12" s="17">
        <v>9111</v>
      </c>
      <c r="W12" s="17">
        <v>651</v>
      </c>
      <c r="X12" s="17">
        <v>7915</v>
      </c>
      <c r="Y12" s="17">
        <v>188</v>
      </c>
      <c r="Z12" s="17">
        <v>1032</v>
      </c>
      <c r="AA12" s="17">
        <v>8472</v>
      </c>
      <c r="AB12" s="17">
        <v>449</v>
      </c>
      <c r="AC12" s="17">
        <v>639</v>
      </c>
      <c r="AD12" s="17">
        <v>202</v>
      </c>
      <c r="AE12" s="17">
        <v>557</v>
      </c>
      <c r="AF12" s="17">
        <v>261</v>
      </c>
      <c r="AG12" s="18">
        <v>7.1452090879157062E-2</v>
      </c>
      <c r="AH12" s="18">
        <v>6.5745986779981114E-2</v>
      </c>
      <c r="AI12" s="18">
        <v>0.92986499835363845</v>
      </c>
      <c r="AJ12" s="19">
        <v>1.4015843997562462E-2</v>
      </c>
      <c r="AK12" s="18">
        <v>0.86873010646471294</v>
      </c>
      <c r="AL12" s="18">
        <v>7.0135001646361536E-2</v>
      </c>
      <c r="AM12" s="19">
        <v>0</v>
      </c>
      <c r="AN12" s="19">
        <v>0</v>
      </c>
      <c r="AO12" s="19">
        <v>1.4015843997562462E-2</v>
      </c>
      <c r="AP12" s="19">
        <v>0</v>
      </c>
      <c r="AQ12" s="20">
        <v>6.4609674051734137E-2</v>
      </c>
      <c r="AR12" s="20">
        <v>0.79802078179119251</v>
      </c>
      <c r="AS12" s="20">
        <v>0.85314200890648195</v>
      </c>
      <c r="AT12" s="20">
        <v>0.14685799109351805</v>
      </c>
      <c r="AU12" s="21" t="s">
        <v>217</v>
      </c>
      <c r="AV12" s="21" t="s">
        <v>107</v>
      </c>
    </row>
    <row r="13" spans="1:48" x14ac:dyDescent="0.35">
      <c r="A13" t="s">
        <v>119</v>
      </c>
      <c r="B13" t="s">
        <v>105</v>
      </c>
      <c r="C13" t="s">
        <v>120</v>
      </c>
      <c r="D13" s="17">
        <v>17122</v>
      </c>
      <c r="E13" s="17">
        <v>2510</v>
      </c>
      <c r="F13" s="17">
        <v>14584</v>
      </c>
      <c r="G13" s="17">
        <v>434</v>
      </c>
      <c r="H13" s="17">
        <v>18373</v>
      </c>
      <c r="I13" s="17">
        <v>577</v>
      </c>
      <c r="J13" s="17">
        <v>517</v>
      </c>
      <c r="K13" s="17">
        <v>162</v>
      </c>
      <c r="L13" s="17">
        <v>226</v>
      </c>
      <c r="M13" s="17">
        <v>300</v>
      </c>
      <c r="N13" s="17">
        <v>125</v>
      </c>
      <c r="O13" s="17">
        <v>16466</v>
      </c>
      <c r="P13" s="17">
        <v>3288</v>
      </c>
      <c r="Q13" s="17">
        <v>133</v>
      </c>
      <c r="R13" s="17">
        <v>5</v>
      </c>
      <c r="S13" s="17">
        <v>63</v>
      </c>
      <c r="T13" s="17">
        <v>57</v>
      </c>
      <c r="U13" s="17">
        <v>8</v>
      </c>
      <c r="V13" s="17">
        <v>15320</v>
      </c>
      <c r="W13" s="17">
        <v>772</v>
      </c>
      <c r="X13" s="17">
        <v>13709</v>
      </c>
      <c r="Y13" s="17">
        <v>346</v>
      </c>
      <c r="Z13" s="17">
        <v>1907</v>
      </c>
      <c r="AA13" s="17">
        <v>14113</v>
      </c>
      <c r="AB13" s="17">
        <v>407</v>
      </c>
      <c r="AC13" s="17">
        <v>1179</v>
      </c>
      <c r="AD13" s="17">
        <v>365</v>
      </c>
      <c r="AE13" s="17">
        <v>404</v>
      </c>
      <c r="AF13" s="17">
        <v>61</v>
      </c>
      <c r="AG13" s="18">
        <v>5.0391644908616189E-2</v>
      </c>
      <c r="AH13" s="18">
        <v>2.8626089421101113E-2</v>
      </c>
      <c r="AI13" s="18">
        <v>0.92121409921671016</v>
      </c>
      <c r="AJ13" s="19">
        <v>4.0450121654501216E-2</v>
      </c>
      <c r="AK13" s="18">
        <v>0.89484334203655358</v>
      </c>
      <c r="AL13" s="18">
        <v>7.6958224543080933E-2</v>
      </c>
      <c r="AM13" s="19">
        <v>1.5206812652068127E-3</v>
      </c>
      <c r="AN13" s="19">
        <v>1.916058394160584E-2</v>
      </c>
      <c r="AO13" s="19">
        <v>1.7335766423357664E-2</v>
      </c>
      <c r="AP13" s="19">
        <v>2.4330900243309003E-3</v>
      </c>
      <c r="AQ13" s="20">
        <v>2.9758639605046627E-2</v>
      </c>
      <c r="AR13" s="20">
        <v>0.82642214694545035</v>
      </c>
      <c r="AS13" s="20">
        <v>0.85176965307791142</v>
      </c>
      <c r="AT13" s="20">
        <v>0.14659502394580073</v>
      </c>
      <c r="AU13" s="21" t="s">
        <v>218</v>
      </c>
      <c r="AV13" s="21" t="s">
        <v>107</v>
      </c>
    </row>
    <row r="14" spans="1:48" x14ac:dyDescent="0.35">
      <c r="A14" t="s">
        <v>121</v>
      </c>
      <c r="B14" t="s">
        <v>105</v>
      </c>
      <c r="C14" t="s">
        <v>120</v>
      </c>
      <c r="D14" s="17">
        <v>16349</v>
      </c>
      <c r="E14" s="17">
        <v>3213</v>
      </c>
      <c r="F14" s="17">
        <v>13136</v>
      </c>
      <c r="G14" s="17">
        <v>532</v>
      </c>
      <c r="H14" s="17">
        <v>18422</v>
      </c>
      <c r="I14" s="17">
        <v>1407</v>
      </c>
      <c r="J14" s="17">
        <v>836</v>
      </c>
      <c r="K14" s="17">
        <v>200</v>
      </c>
      <c r="L14" s="17">
        <v>697</v>
      </c>
      <c r="M14" s="17">
        <v>501</v>
      </c>
      <c r="N14" s="17">
        <v>199</v>
      </c>
      <c r="O14" s="17">
        <v>14582</v>
      </c>
      <c r="P14" s="17">
        <v>3166</v>
      </c>
      <c r="Q14" s="17">
        <v>110</v>
      </c>
      <c r="R14" s="17">
        <v>12</v>
      </c>
      <c r="S14" s="17">
        <v>30</v>
      </c>
      <c r="T14" s="17">
        <v>29</v>
      </c>
      <c r="U14" s="17">
        <v>39</v>
      </c>
      <c r="V14" s="17">
        <v>14327</v>
      </c>
      <c r="W14" s="17">
        <v>2057</v>
      </c>
      <c r="X14" s="17">
        <v>11961</v>
      </c>
      <c r="Y14" s="17">
        <v>1043</v>
      </c>
      <c r="Z14" s="17">
        <v>3840</v>
      </c>
      <c r="AA14" s="17">
        <v>12404</v>
      </c>
      <c r="AB14" s="17">
        <v>1199</v>
      </c>
      <c r="AC14" s="17">
        <v>1923</v>
      </c>
      <c r="AD14" s="17">
        <v>858</v>
      </c>
      <c r="AE14" s="17">
        <v>443</v>
      </c>
      <c r="AF14" s="17">
        <v>156</v>
      </c>
      <c r="AG14" s="18">
        <v>0.1435750680533259</v>
      </c>
      <c r="AH14" s="18">
        <v>3.5714285714285712E-2</v>
      </c>
      <c r="AI14" s="18">
        <v>0.86577790186361414</v>
      </c>
      <c r="AJ14" s="19">
        <v>3.474415666456096E-2</v>
      </c>
      <c r="AK14" s="18">
        <v>0.83485726251134218</v>
      </c>
      <c r="AL14" s="18">
        <v>0.13422209813638583</v>
      </c>
      <c r="AM14" s="19">
        <v>3.7902716361339229E-3</v>
      </c>
      <c r="AN14" s="19">
        <v>9.4756790903348081E-3</v>
      </c>
      <c r="AO14" s="19">
        <v>9.1598231206569802E-3</v>
      </c>
      <c r="AP14" s="19">
        <v>1.2318382817435249E-2</v>
      </c>
      <c r="AQ14" s="20">
        <v>4.0499390986601706E-2</v>
      </c>
      <c r="AR14" s="20">
        <v>0.77093400207963791</v>
      </c>
      <c r="AS14" s="20">
        <v>0.80347421860664259</v>
      </c>
      <c r="AT14" s="20">
        <v>0.19652578139335738</v>
      </c>
      <c r="AU14" s="21" t="s">
        <v>219</v>
      </c>
      <c r="AV14" s="21" t="s">
        <v>107</v>
      </c>
    </row>
    <row r="15" spans="1:48" x14ac:dyDescent="0.35">
      <c r="A15" t="s">
        <v>122</v>
      </c>
      <c r="B15" t="s">
        <v>105</v>
      </c>
      <c r="C15" t="s">
        <v>120</v>
      </c>
      <c r="D15" s="17">
        <v>27801</v>
      </c>
      <c r="E15" s="17">
        <v>4791</v>
      </c>
      <c r="F15" s="17">
        <v>22974</v>
      </c>
      <c r="G15" s="17">
        <v>1177</v>
      </c>
      <c r="H15" s="17">
        <v>27955</v>
      </c>
      <c r="I15" s="17">
        <v>2026</v>
      </c>
      <c r="J15" s="17">
        <v>794</v>
      </c>
      <c r="K15" s="17">
        <v>531</v>
      </c>
      <c r="L15" s="17">
        <v>839</v>
      </c>
      <c r="M15" s="17">
        <v>699</v>
      </c>
      <c r="N15" s="17">
        <v>111</v>
      </c>
      <c r="O15" s="17">
        <v>22955</v>
      </c>
      <c r="P15" s="17">
        <v>3783</v>
      </c>
      <c r="Q15" s="17">
        <v>152</v>
      </c>
      <c r="R15" s="17">
        <v>19</v>
      </c>
      <c r="S15" s="17">
        <v>75</v>
      </c>
      <c r="T15" s="17">
        <v>58</v>
      </c>
      <c r="U15" s="17">
        <v>0</v>
      </c>
      <c r="V15" s="17">
        <v>24983</v>
      </c>
      <c r="W15" s="17">
        <v>2241</v>
      </c>
      <c r="X15" s="17">
        <v>21352</v>
      </c>
      <c r="Y15" s="17">
        <v>860</v>
      </c>
      <c r="Z15" s="17">
        <v>5000</v>
      </c>
      <c r="AA15" s="17">
        <v>22412</v>
      </c>
      <c r="AB15" s="17">
        <v>1353</v>
      </c>
      <c r="AC15" s="17">
        <v>2535</v>
      </c>
      <c r="AD15" s="17">
        <v>888</v>
      </c>
      <c r="AE15" s="17">
        <v>1060</v>
      </c>
      <c r="AF15" s="17">
        <v>493</v>
      </c>
      <c r="AG15" s="18">
        <v>8.9700996677740868E-2</v>
      </c>
      <c r="AH15" s="18">
        <v>4.7296091379618065E-2</v>
      </c>
      <c r="AI15" s="18">
        <v>0.89709002121442583</v>
      </c>
      <c r="AJ15" s="19">
        <v>4.0179751519957708E-2</v>
      </c>
      <c r="AK15" s="18">
        <v>0.85466116959532479</v>
      </c>
      <c r="AL15" s="18">
        <v>0.1014689989192651</v>
      </c>
      <c r="AM15" s="19">
        <v>5.0224689399947136E-3</v>
      </c>
      <c r="AN15" s="19">
        <v>1.9825535289452814E-2</v>
      </c>
      <c r="AO15" s="19">
        <v>1.5331747290510176E-2</v>
      </c>
      <c r="AP15" s="19">
        <v>0</v>
      </c>
      <c r="AQ15" s="20">
        <v>5.1231827283015584E-2</v>
      </c>
      <c r="AR15" s="20">
        <v>0.7840365454480055</v>
      </c>
      <c r="AS15" s="20">
        <v>0.82637315204489048</v>
      </c>
      <c r="AT15" s="20">
        <v>0.17233193050609691</v>
      </c>
      <c r="AU15" s="21" t="s">
        <v>220</v>
      </c>
      <c r="AV15" s="21" t="s">
        <v>107</v>
      </c>
    </row>
    <row r="16" spans="1:48" x14ac:dyDescent="0.35">
      <c r="A16" t="s">
        <v>123</v>
      </c>
      <c r="B16" t="s">
        <v>105</v>
      </c>
      <c r="C16" t="s">
        <v>124</v>
      </c>
      <c r="D16" s="17">
        <v>10603</v>
      </c>
      <c r="E16" s="17">
        <v>3210</v>
      </c>
      <c r="F16" s="17">
        <v>7393</v>
      </c>
      <c r="G16" s="17">
        <v>144</v>
      </c>
      <c r="H16" s="17">
        <v>13750</v>
      </c>
      <c r="I16" s="17">
        <v>285</v>
      </c>
      <c r="J16" s="17">
        <v>128</v>
      </c>
      <c r="K16" s="17">
        <v>177</v>
      </c>
      <c r="L16" s="17">
        <v>79</v>
      </c>
      <c r="M16" s="17">
        <v>281</v>
      </c>
      <c r="N16" s="17">
        <v>146</v>
      </c>
      <c r="O16" s="17">
        <v>12654</v>
      </c>
      <c r="P16" s="17">
        <v>3834</v>
      </c>
      <c r="Q16" s="17">
        <v>77</v>
      </c>
      <c r="R16" s="17">
        <v>9</v>
      </c>
      <c r="S16" s="17">
        <v>58</v>
      </c>
      <c r="T16" s="17">
        <v>10</v>
      </c>
      <c r="U16" s="17">
        <v>0</v>
      </c>
      <c r="V16" s="17">
        <v>7845</v>
      </c>
      <c r="W16" s="17">
        <v>231</v>
      </c>
      <c r="X16" s="17">
        <v>6463</v>
      </c>
      <c r="Y16" s="17">
        <v>84</v>
      </c>
      <c r="Z16" s="17">
        <v>1096</v>
      </c>
      <c r="AA16" s="17">
        <v>6607</v>
      </c>
      <c r="AB16" s="17">
        <v>97</v>
      </c>
      <c r="AC16" s="17">
        <v>1238</v>
      </c>
      <c r="AD16" s="17">
        <v>134</v>
      </c>
      <c r="AE16" s="17">
        <v>144</v>
      </c>
      <c r="AF16" s="17">
        <v>13</v>
      </c>
      <c r="AG16" s="18">
        <v>2.9445506692160613E-2</v>
      </c>
      <c r="AH16" s="18">
        <v>2.1795065839261388E-2</v>
      </c>
      <c r="AI16" s="18">
        <v>0.84219247928616958</v>
      </c>
      <c r="AJ16" s="19">
        <v>2.0083463745435577E-2</v>
      </c>
      <c r="AK16" s="18">
        <v>0.82383683875079672</v>
      </c>
      <c r="AL16" s="18">
        <v>0.15780752071383047</v>
      </c>
      <c r="AM16" s="19">
        <v>2.3474178403755869E-3</v>
      </c>
      <c r="AN16" s="19">
        <v>1.5127803860198226E-2</v>
      </c>
      <c r="AO16" s="19">
        <v>2.6082420448617634E-3</v>
      </c>
      <c r="AP16" s="19">
        <v>0</v>
      </c>
      <c r="AQ16" s="20">
        <v>1.9477884485323955E-2</v>
      </c>
      <c r="AR16" s="20">
        <v>0.68367443176459497</v>
      </c>
      <c r="AS16" s="20">
        <v>0.69725549372819018</v>
      </c>
      <c r="AT16" s="20">
        <v>0.30274450627180988</v>
      </c>
      <c r="AU16" s="21" t="s">
        <v>221</v>
      </c>
      <c r="AV16" s="21" t="s">
        <v>107</v>
      </c>
    </row>
    <row r="17" spans="1:48" x14ac:dyDescent="0.35">
      <c r="A17" t="s">
        <v>125</v>
      </c>
      <c r="B17" t="s">
        <v>105</v>
      </c>
      <c r="C17" t="s">
        <v>124</v>
      </c>
      <c r="D17" s="17">
        <v>10731</v>
      </c>
      <c r="E17" s="17">
        <v>1708</v>
      </c>
      <c r="F17" s="17">
        <v>8956</v>
      </c>
      <c r="G17" s="17">
        <v>308</v>
      </c>
      <c r="H17" s="17">
        <v>11990</v>
      </c>
      <c r="I17" s="17">
        <v>533</v>
      </c>
      <c r="J17" s="17">
        <v>461</v>
      </c>
      <c r="K17" s="17">
        <v>278</v>
      </c>
      <c r="L17" s="17">
        <v>180</v>
      </c>
      <c r="M17" s="17">
        <v>177</v>
      </c>
      <c r="N17" s="17">
        <v>52</v>
      </c>
      <c r="O17" s="17">
        <v>10309</v>
      </c>
      <c r="P17" s="17">
        <v>2568</v>
      </c>
      <c r="Q17" s="17">
        <v>71</v>
      </c>
      <c r="R17" s="17">
        <v>38</v>
      </c>
      <c r="S17" s="17">
        <v>22</v>
      </c>
      <c r="T17" s="17">
        <v>11</v>
      </c>
      <c r="U17" s="17">
        <v>0</v>
      </c>
      <c r="V17" s="17">
        <v>9405</v>
      </c>
      <c r="W17" s="17">
        <v>819</v>
      </c>
      <c r="X17" s="17">
        <v>8228</v>
      </c>
      <c r="Y17" s="17">
        <v>411</v>
      </c>
      <c r="Z17" s="17">
        <v>1681</v>
      </c>
      <c r="AA17" s="17">
        <v>8519</v>
      </c>
      <c r="AB17" s="17">
        <v>507</v>
      </c>
      <c r="AC17" s="17">
        <v>886</v>
      </c>
      <c r="AD17" s="17">
        <v>312</v>
      </c>
      <c r="AE17" s="17">
        <v>291</v>
      </c>
      <c r="AF17" s="17">
        <v>96</v>
      </c>
      <c r="AG17" s="18">
        <v>8.7081339712918662E-2</v>
      </c>
      <c r="AH17" s="18">
        <v>3.415893884258716E-2</v>
      </c>
      <c r="AI17" s="18">
        <v>0.90579479000531637</v>
      </c>
      <c r="AJ17" s="19">
        <v>2.764797507788162E-2</v>
      </c>
      <c r="AK17" s="18">
        <v>0.87485380116959066</v>
      </c>
      <c r="AL17" s="18">
        <v>9.4205209994683681E-2</v>
      </c>
      <c r="AM17" s="19">
        <v>1.4797507788161994E-2</v>
      </c>
      <c r="AN17" s="19">
        <v>8.5669781931464167E-3</v>
      </c>
      <c r="AO17" s="19">
        <v>4.2834890965732083E-3</v>
      </c>
      <c r="AP17" s="19">
        <v>0</v>
      </c>
      <c r="AQ17" s="20">
        <v>3.4390352836087539E-2</v>
      </c>
      <c r="AR17" s="20">
        <v>0.80588947907930297</v>
      </c>
      <c r="AS17" s="20">
        <v>0.83459137079489332</v>
      </c>
      <c r="AT17" s="20">
        <v>0.15916503587736464</v>
      </c>
      <c r="AU17" s="21" t="s">
        <v>222</v>
      </c>
      <c r="AV17" s="21" t="s">
        <v>107</v>
      </c>
    </row>
    <row r="18" spans="1:48" x14ac:dyDescent="0.35">
      <c r="A18" t="s">
        <v>126</v>
      </c>
      <c r="B18" t="s">
        <v>105</v>
      </c>
      <c r="C18" t="s">
        <v>124</v>
      </c>
      <c r="D18" s="17">
        <v>41543</v>
      </c>
      <c r="E18" s="17">
        <v>8781</v>
      </c>
      <c r="F18" s="17">
        <v>32709</v>
      </c>
      <c r="G18" s="17">
        <v>1251</v>
      </c>
      <c r="H18" s="17">
        <v>43869</v>
      </c>
      <c r="I18" s="17">
        <v>2011</v>
      </c>
      <c r="J18" s="17">
        <v>1109</v>
      </c>
      <c r="K18" s="17">
        <v>403</v>
      </c>
      <c r="L18" s="17">
        <v>491</v>
      </c>
      <c r="M18" s="17">
        <v>744</v>
      </c>
      <c r="N18" s="17">
        <v>488</v>
      </c>
      <c r="O18" s="17">
        <v>38623</v>
      </c>
      <c r="P18" s="17">
        <v>7914</v>
      </c>
      <c r="Q18" s="17">
        <v>246</v>
      </c>
      <c r="R18" s="17">
        <v>0</v>
      </c>
      <c r="S18" s="17">
        <v>44</v>
      </c>
      <c r="T18" s="17">
        <v>67</v>
      </c>
      <c r="U18" s="17">
        <v>135</v>
      </c>
      <c r="V18" s="17">
        <v>34389</v>
      </c>
      <c r="W18" s="17">
        <v>2515</v>
      </c>
      <c r="X18" s="17">
        <v>29745</v>
      </c>
      <c r="Y18" s="17">
        <v>798</v>
      </c>
      <c r="Z18" s="17">
        <v>5246</v>
      </c>
      <c r="AA18" s="17">
        <v>30778</v>
      </c>
      <c r="AB18" s="17">
        <v>965</v>
      </c>
      <c r="AC18" s="17">
        <v>3558</v>
      </c>
      <c r="AD18" s="17">
        <v>1550</v>
      </c>
      <c r="AE18" s="17">
        <v>1033</v>
      </c>
      <c r="AF18" s="17">
        <v>167</v>
      </c>
      <c r="AG18" s="18">
        <v>7.313385094070779E-2</v>
      </c>
      <c r="AH18" s="18">
        <v>3.3562934563649359E-2</v>
      </c>
      <c r="AI18" s="18">
        <v>0.89499549274477308</v>
      </c>
      <c r="AJ18" s="19">
        <v>3.1084154662623199E-2</v>
      </c>
      <c r="AK18" s="18">
        <v>0.86495681758701914</v>
      </c>
      <c r="AL18" s="18">
        <v>0.10346331675826573</v>
      </c>
      <c r="AM18" s="19">
        <v>0</v>
      </c>
      <c r="AN18" s="19">
        <v>5.5597675006317914E-3</v>
      </c>
      <c r="AO18" s="19">
        <v>8.4660096032347747E-3</v>
      </c>
      <c r="AP18" s="19">
        <v>1.7058377558756634E-2</v>
      </c>
      <c r="AQ18" s="20">
        <v>3.8246354214436395E-2</v>
      </c>
      <c r="AR18" s="20">
        <v>0.75723948679681297</v>
      </c>
      <c r="AS18" s="20">
        <v>0.78735286329826926</v>
      </c>
      <c r="AT18" s="20">
        <v>0.21137135016729652</v>
      </c>
      <c r="AU18" s="21" t="s">
        <v>223</v>
      </c>
      <c r="AV18" s="21" t="s">
        <v>107</v>
      </c>
    </row>
    <row r="19" spans="1:48" x14ac:dyDescent="0.35">
      <c r="A19" t="s">
        <v>127</v>
      </c>
      <c r="B19" t="s">
        <v>105</v>
      </c>
      <c r="C19" t="s">
        <v>128</v>
      </c>
      <c r="D19" s="17">
        <v>11126</v>
      </c>
      <c r="E19" s="17">
        <v>2202</v>
      </c>
      <c r="F19" s="17">
        <v>8904</v>
      </c>
      <c r="G19" s="17">
        <v>246</v>
      </c>
      <c r="H19" s="17">
        <v>11281</v>
      </c>
      <c r="I19" s="17">
        <v>587</v>
      </c>
      <c r="J19" s="17">
        <v>609</v>
      </c>
      <c r="K19" s="17">
        <v>286</v>
      </c>
      <c r="L19" s="17">
        <v>238</v>
      </c>
      <c r="M19" s="17">
        <v>207</v>
      </c>
      <c r="N19" s="17">
        <v>183</v>
      </c>
      <c r="O19" s="17">
        <v>9171</v>
      </c>
      <c r="P19" s="17">
        <v>2076</v>
      </c>
      <c r="Q19" s="17">
        <v>30</v>
      </c>
      <c r="R19" s="17">
        <v>0</v>
      </c>
      <c r="S19" s="17">
        <v>30</v>
      </c>
      <c r="T19" s="17">
        <v>0</v>
      </c>
      <c r="U19" s="17">
        <v>0</v>
      </c>
      <c r="V19" s="17">
        <v>9986</v>
      </c>
      <c r="W19" s="17">
        <v>1068</v>
      </c>
      <c r="X19" s="17">
        <v>8382</v>
      </c>
      <c r="Y19" s="17">
        <v>402</v>
      </c>
      <c r="Z19" s="17">
        <v>2110</v>
      </c>
      <c r="AA19" s="17">
        <v>8628</v>
      </c>
      <c r="AB19" s="17">
        <v>470</v>
      </c>
      <c r="AC19" s="17">
        <v>1338</v>
      </c>
      <c r="AD19" s="17">
        <v>598</v>
      </c>
      <c r="AE19" s="17">
        <v>246</v>
      </c>
      <c r="AF19" s="17">
        <v>68</v>
      </c>
      <c r="AG19" s="18">
        <v>0.10694972962147006</v>
      </c>
      <c r="AH19" s="18">
        <v>2.851182197496523E-2</v>
      </c>
      <c r="AI19" s="18">
        <v>0.86400961345884242</v>
      </c>
      <c r="AJ19" s="19">
        <v>1.4450867052023121E-2</v>
      </c>
      <c r="AK19" s="18">
        <v>0.83937512517524537</v>
      </c>
      <c r="AL19" s="18">
        <v>0.13398758261566193</v>
      </c>
      <c r="AM19" s="19">
        <v>0</v>
      </c>
      <c r="AN19" s="19">
        <v>1.4450867052023121E-2</v>
      </c>
      <c r="AO19" s="19">
        <v>0</v>
      </c>
      <c r="AP19" s="19">
        <v>0</v>
      </c>
      <c r="AQ19" s="20">
        <v>2.7628032345013476E-2</v>
      </c>
      <c r="AR19" s="20">
        <v>0.7781772424950566</v>
      </c>
      <c r="AS19" s="20">
        <v>0.80028761459644082</v>
      </c>
      <c r="AT19" s="20">
        <v>0.19791479417580443</v>
      </c>
      <c r="AU19" s="21" t="s">
        <v>224</v>
      </c>
      <c r="AV19" s="21" t="s">
        <v>107</v>
      </c>
    </row>
    <row r="20" spans="1:48" x14ac:dyDescent="0.35">
      <c r="A20" t="s">
        <v>129</v>
      </c>
      <c r="B20" t="s">
        <v>105</v>
      </c>
      <c r="C20" t="s">
        <v>128</v>
      </c>
      <c r="D20" s="17">
        <v>6155</v>
      </c>
      <c r="E20" s="17">
        <v>2053</v>
      </c>
      <c r="F20" s="17">
        <v>4057</v>
      </c>
      <c r="G20" s="17">
        <v>154</v>
      </c>
      <c r="H20" s="17">
        <v>6163</v>
      </c>
      <c r="I20" s="17">
        <v>537</v>
      </c>
      <c r="J20" s="17">
        <v>525</v>
      </c>
      <c r="K20" s="17">
        <v>130</v>
      </c>
      <c r="L20" s="17">
        <v>115</v>
      </c>
      <c r="M20" s="17">
        <v>131</v>
      </c>
      <c r="N20" s="17">
        <v>97</v>
      </c>
      <c r="O20" s="17">
        <v>4628</v>
      </c>
      <c r="P20" s="17">
        <v>950</v>
      </c>
      <c r="Q20" s="17">
        <v>37</v>
      </c>
      <c r="R20" s="17">
        <v>0</v>
      </c>
      <c r="S20" s="17">
        <v>37</v>
      </c>
      <c r="T20" s="17">
        <v>0</v>
      </c>
      <c r="U20" s="17">
        <v>0</v>
      </c>
      <c r="V20" s="17">
        <v>5006</v>
      </c>
      <c r="W20" s="17">
        <v>737</v>
      </c>
      <c r="X20" s="17">
        <v>3670</v>
      </c>
      <c r="Y20" s="17">
        <v>79</v>
      </c>
      <c r="Z20" s="17">
        <v>1535</v>
      </c>
      <c r="AA20" s="17">
        <v>3802</v>
      </c>
      <c r="AB20" s="17">
        <v>170</v>
      </c>
      <c r="AC20" s="17">
        <v>1159</v>
      </c>
      <c r="AD20" s="17">
        <v>567</v>
      </c>
      <c r="AE20" s="17">
        <v>132</v>
      </c>
      <c r="AF20" s="17">
        <v>91</v>
      </c>
      <c r="AG20" s="18">
        <v>0.1472233320015981</v>
      </c>
      <c r="AH20" s="18">
        <v>3.4718569174118884E-2</v>
      </c>
      <c r="AI20" s="18">
        <v>0.75948861366360365</v>
      </c>
      <c r="AJ20" s="19">
        <v>3.8947368421052633E-2</v>
      </c>
      <c r="AK20" s="18">
        <v>0.73312025569316819</v>
      </c>
      <c r="AL20" s="18">
        <v>0.23152217339192968</v>
      </c>
      <c r="AM20" s="19">
        <v>0</v>
      </c>
      <c r="AN20" s="19">
        <v>3.8947368421052633E-2</v>
      </c>
      <c r="AO20" s="19">
        <v>0</v>
      </c>
      <c r="AP20" s="19">
        <v>0</v>
      </c>
      <c r="AQ20" s="20">
        <v>3.7959083066305153E-2</v>
      </c>
      <c r="AR20" s="20">
        <v>0.63411860276198218</v>
      </c>
      <c r="AS20" s="20">
        <v>0.65913891145410231</v>
      </c>
      <c r="AT20" s="20">
        <v>0.33354995938261578</v>
      </c>
      <c r="AU20" s="21" t="s">
        <v>225</v>
      </c>
      <c r="AV20" s="21" t="s">
        <v>107</v>
      </c>
    </row>
    <row r="21" spans="1:48" x14ac:dyDescent="0.35">
      <c r="A21" t="s">
        <v>130</v>
      </c>
      <c r="B21" t="s">
        <v>105</v>
      </c>
      <c r="C21" t="s">
        <v>128</v>
      </c>
      <c r="D21" s="17">
        <v>6171</v>
      </c>
      <c r="E21" s="17">
        <v>2394</v>
      </c>
      <c r="F21" s="17">
        <v>3728</v>
      </c>
      <c r="G21" s="17">
        <v>239</v>
      </c>
      <c r="H21" s="17">
        <v>6507</v>
      </c>
      <c r="I21" s="17">
        <v>745</v>
      </c>
      <c r="J21" s="17">
        <v>1381</v>
      </c>
      <c r="K21" s="17">
        <v>864</v>
      </c>
      <c r="L21" s="17">
        <v>278</v>
      </c>
      <c r="M21" s="17">
        <v>230</v>
      </c>
      <c r="N21" s="17">
        <v>70</v>
      </c>
      <c r="O21" s="17">
        <v>2939</v>
      </c>
      <c r="P21" s="17">
        <v>783</v>
      </c>
      <c r="Q21" s="17">
        <v>295</v>
      </c>
      <c r="R21" s="17">
        <v>0</v>
      </c>
      <c r="S21" s="17">
        <v>221</v>
      </c>
      <c r="T21" s="17">
        <v>55</v>
      </c>
      <c r="U21" s="17">
        <v>19</v>
      </c>
      <c r="V21" s="17">
        <v>4559</v>
      </c>
      <c r="W21" s="17">
        <v>1133</v>
      </c>
      <c r="X21" s="17">
        <v>3252</v>
      </c>
      <c r="Y21" s="17">
        <v>486</v>
      </c>
      <c r="Z21" s="17">
        <v>3568</v>
      </c>
      <c r="AA21" s="17">
        <v>3483</v>
      </c>
      <c r="AB21" s="17">
        <v>544</v>
      </c>
      <c r="AC21" s="17">
        <v>1027</v>
      </c>
      <c r="AD21" s="17">
        <v>589</v>
      </c>
      <c r="AE21" s="17">
        <v>231</v>
      </c>
      <c r="AF21" s="17">
        <v>58</v>
      </c>
      <c r="AG21" s="18">
        <v>0.24851941215178766</v>
      </c>
      <c r="AH21" s="18">
        <v>6.6322136089577946E-2</v>
      </c>
      <c r="AI21" s="18">
        <v>0.76398332967756089</v>
      </c>
      <c r="AJ21" s="19">
        <v>0.37675606641123882</v>
      </c>
      <c r="AK21" s="18">
        <v>0.71331432331651679</v>
      </c>
      <c r="AL21" s="18">
        <v>0.22526869927615706</v>
      </c>
      <c r="AM21" s="19">
        <v>0</v>
      </c>
      <c r="AN21" s="19">
        <v>0.28224776500638571</v>
      </c>
      <c r="AO21" s="19">
        <v>7.0242656449553006E-2</v>
      </c>
      <c r="AP21" s="19">
        <v>2.4265644955300127E-2</v>
      </c>
      <c r="AQ21" s="20">
        <v>6.4109442060085842E-2</v>
      </c>
      <c r="AR21" s="20">
        <v>0.56538648517258139</v>
      </c>
      <c r="AS21" s="20">
        <v>0.60411602657591967</v>
      </c>
      <c r="AT21" s="20">
        <v>0.38794360719494408</v>
      </c>
      <c r="AU21" s="21" t="s">
        <v>226</v>
      </c>
      <c r="AV21" s="21" t="s">
        <v>107</v>
      </c>
    </row>
    <row r="22" spans="1:48" x14ac:dyDescent="0.35">
      <c r="A22" t="s">
        <v>131</v>
      </c>
      <c r="B22" t="s">
        <v>132</v>
      </c>
      <c r="C22" t="s">
        <v>133</v>
      </c>
      <c r="D22" s="17">
        <v>91517</v>
      </c>
      <c r="E22" s="17">
        <v>24899</v>
      </c>
      <c r="F22" s="17">
        <v>66175</v>
      </c>
      <c r="G22" s="17">
        <v>2963</v>
      </c>
      <c r="H22" s="17">
        <v>107394</v>
      </c>
      <c r="I22" s="17">
        <v>4790</v>
      </c>
      <c r="J22" s="17">
        <v>4205</v>
      </c>
      <c r="K22" s="17">
        <v>2888</v>
      </c>
      <c r="L22" s="17">
        <v>2177</v>
      </c>
      <c r="M22" s="17">
        <v>3163</v>
      </c>
      <c r="N22" s="17">
        <v>1673</v>
      </c>
      <c r="O22" s="17">
        <v>88498</v>
      </c>
      <c r="P22" s="17">
        <v>25525</v>
      </c>
      <c r="Q22" s="17">
        <v>976</v>
      </c>
      <c r="R22" s="17">
        <v>201</v>
      </c>
      <c r="S22" s="17">
        <v>121</v>
      </c>
      <c r="T22" s="17">
        <v>421</v>
      </c>
      <c r="U22" s="17">
        <v>233</v>
      </c>
      <c r="V22" s="17">
        <v>73267</v>
      </c>
      <c r="W22" s="17">
        <v>6201</v>
      </c>
      <c r="X22" s="17">
        <v>59708</v>
      </c>
      <c r="Y22" s="17">
        <v>2159</v>
      </c>
      <c r="Z22" s="17">
        <v>18896</v>
      </c>
      <c r="AA22" s="17">
        <v>62376</v>
      </c>
      <c r="AB22" s="17">
        <v>2983</v>
      </c>
      <c r="AC22" s="17">
        <v>10629</v>
      </c>
      <c r="AD22" s="17">
        <v>3218</v>
      </c>
      <c r="AE22" s="17">
        <v>2668</v>
      </c>
      <c r="AF22" s="17">
        <v>824</v>
      </c>
      <c r="AG22" s="18">
        <v>8.4635647699510014E-2</v>
      </c>
      <c r="AH22" s="18">
        <v>4.2772861356932153E-2</v>
      </c>
      <c r="AI22" s="18">
        <v>0.85135190467741273</v>
      </c>
      <c r="AJ22" s="19">
        <v>3.8237022526934381E-2</v>
      </c>
      <c r="AK22" s="18">
        <v>0.81493714769268566</v>
      </c>
      <c r="AL22" s="18">
        <v>0.1450721334297842</v>
      </c>
      <c r="AM22" s="19">
        <v>7.8746327130264446E-3</v>
      </c>
      <c r="AN22" s="19">
        <v>4.7404505386875609E-3</v>
      </c>
      <c r="AO22" s="19">
        <v>1.6493633692458372E-2</v>
      </c>
      <c r="AP22" s="19">
        <v>9.1283055827619981E-3</v>
      </c>
      <c r="AQ22" s="20">
        <v>4.4775217227049489E-2</v>
      </c>
      <c r="AR22" s="20">
        <v>0.69071320082607601</v>
      </c>
      <c r="AS22" s="20">
        <v>0.72308969918157284</v>
      </c>
      <c r="AT22" s="20">
        <v>0.27206967011593475</v>
      </c>
      <c r="AU22" s="21" t="s">
        <v>227</v>
      </c>
      <c r="AV22" s="21" t="s">
        <v>107</v>
      </c>
    </row>
    <row r="23" spans="1:48" x14ac:dyDescent="0.35">
      <c r="A23" t="s">
        <v>134</v>
      </c>
      <c r="B23" t="s">
        <v>132</v>
      </c>
      <c r="C23" t="s">
        <v>133</v>
      </c>
      <c r="D23" s="17">
        <v>90805</v>
      </c>
      <c r="E23" s="17">
        <v>27715</v>
      </c>
      <c r="F23" s="17">
        <v>63025</v>
      </c>
      <c r="G23" s="17">
        <v>2285</v>
      </c>
      <c r="H23" s="17">
        <v>106089</v>
      </c>
      <c r="I23" s="17">
        <v>7004</v>
      </c>
      <c r="J23" s="17">
        <v>8205</v>
      </c>
      <c r="K23" s="17">
        <v>4502</v>
      </c>
      <c r="L23" s="17">
        <v>2690</v>
      </c>
      <c r="M23" s="17">
        <v>3547</v>
      </c>
      <c r="N23" s="17">
        <v>1597</v>
      </c>
      <c r="O23" s="17">
        <v>78544</v>
      </c>
      <c r="P23" s="17">
        <v>23697</v>
      </c>
      <c r="Q23" s="17">
        <v>2408</v>
      </c>
      <c r="R23" s="17">
        <v>444</v>
      </c>
      <c r="S23" s="17">
        <v>726</v>
      </c>
      <c r="T23" s="17">
        <v>863</v>
      </c>
      <c r="U23" s="17">
        <v>375</v>
      </c>
      <c r="V23" s="17">
        <v>69730</v>
      </c>
      <c r="W23" s="17">
        <v>7751</v>
      </c>
      <c r="X23" s="17">
        <v>55992</v>
      </c>
      <c r="Y23" s="17">
        <v>3162</v>
      </c>
      <c r="Z23" s="17">
        <v>27545</v>
      </c>
      <c r="AA23" s="17">
        <v>57948</v>
      </c>
      <c r="AB23" s="17">
        <v>3946</v>
      </c>
      <c r="AC23" s="17">
        <v>11717</v>
      </c>
      <c r="AD23" s="17">
        <v>3782</v>
      </c>
      <c r="AE23" s="17">
        <v>1956</v>
      </c>
      <c r="AF23" s="17">
        <v>784</v>
      </c>
      <c r="AG23" s="18">
        <v>0.11115732109565467</v>
      </c>
      <c r="AH23" s="18">
        <v>3.3754400496997308E-2</v>
      </c>
      <c r="AI23" s="18">
        <v>0.83103398824035568</v>
      </c>
      <c r="AJ23" s="19">
        <v>0.10161623834240621</v>
      </c>
      <c r="AK23" s="18">
        <v>0.8029829341746737</v>
      </c>
      <c r="AL23" s="18">
        <v>0.16803384483005879</v>
      </c>
      <c r="AM23" s="19">
        <v>1.8736548930244335E-2</v>
      </c>
      <c r="AN23" s="19">
        <v>3.0636789467021142E-2</v>
      </c>
      <c r="AO23" s="19">
        <v>3.6418111997299239E-2</v>
      </c>
      <c r="AP23" s="19">
        <v>1.58247879478415E-2</v>
      </c>
      <c r="AQ23" s="20">
        <v>3.6255454184847283E-2</v>
      </c>
      <c r="AR23" s="20">
        <v>0.66890589725235394</v>
      </c>
      <c r="AS23" s="20">
        <v>0.6940697098177413</v>
      </c>
      <c r="AT23" s="20">
        <v>0.3052144705688013</v>
      </c>
      <c r="AU23" s="21" t="s">
        <v>228</v>
      </c>
      <c r="AV23" s="21" t="s">
        <v>107</v>
      </c>
    </row>
    <row r="24" spans="1:48" x14ac:dyDescent="0.35">
      <c r="A24" t="s">
        <v>135</v>
      </c>
      <c r="B24" t="s">
        <v>132</v>
      </c>
      <c r="C24" t="s">
        <v>133</v>
      </c>
      <c r="D24" s="17">
        <v>99061</v>
      </c>
      <c r="E24" s="17">
        <v>23018</v>
      </c>
      <c r="F24" s="17">
        <v>75882</v>
      </c>
      <c r="G24" s="17">
        <v>3913</v>
      </c>
      <c r="H24" s="17">
        <v>106829</v>
      </c>
      <c r="I24" s="17">
        <v>6322</v>
      </c>
      <c r="J24" s="17">
        <v>4502</v>
      </c>
      <c r="K24" s="17">
        <v>2021</v>
      </c>
      <c r="L24" s="17">
        <v>1983</v>
      </c>
      <c r="M24" s="17">
        <v>3313</v>
      </c>
      <c r="N24" s="17">
        <v>1461</v>
      </c>
      <c r="O24" s="17">
        <v>87227</v>
      </c>
      <c r="P24" s="17">
        <v>18845</v>
      </c>
      <c r="Q24" s="17">
        <v>902</v>
      </c>
      <c r="R24" s="17">
        <v>101</v>
      </c>
      <c r="S24" s="17">
        <v>351</v>
      </c>
      <c r="T24" s="17">
        <v>345</v>
      </c>
      <c r="U24" s="17">
        <v>105</v>
      </c>
      <c r="V24" s="17">
        <v>83023</v>
      </c>
      <c r="W24" s="17">
        <v>7551</v>
      </c>
      <c r="X24" s="17">
        <v>68785</v>
      </c>
      <c r="Y24" s="17">
        <v>3108</v>
      </c>
      <c r="Z24" s="17">
        <v>19602</v>
      </c>
      <c r="AA24" s="17">
        <v>72421</v>
      </c>
      <c r="AB24" s="17">
        <v>4215</v>
      </c>
      <c r="AC24" s="17">
        <v>10441</v>
      </c>
      <c r="AD24" s="17">
        <v>3336</v>
      </c>
      <c r="AE24" s="17">
        <v>3636</v>
      </c>
      <c r="AF24" s="17">
        <v>1107</v>
      </c>
      <c r="AG24" s="18">
        <v>9.0950700408320581E-2</v>
      </c>
      <c r="AH24" s="18">
        <v>5.0206431836069647E-2</v>
      </c>
      <c r="AI24" s="18">
        <v>0.872300446864122</v>
      </c>
      <c r="AJ24" s="19">
        <v>4.7864154948262141E-2</v>
      </c>
      <c r="AK24" s="18">
        <v>0.82850535393806535</v>
      </c>
      <c r="AL24" s="18">
        <v>0.12576033147441071</v>
      </c>
      <c r="AM24" s="19">
        <v>5.3595118068453171E-3</v>
      </c>
      <c r="AN24" s="19">
        <v>1.8625630140620856E-2</v>
      </c>
      <c r="AO24" s="19">
        <v>1.8307243300610242E-2</v>
      </c>
      <c r="AP24" s="19">
        <v>5.5717697001857252E-3</v>
      </c>
      <c r="AQ24" s="20">
        <v>5.1566906512743468E-2</v>
      </c>
      <c r="AR24" s="20">
        <v>0.72651194718405832</v>
      </c>
      <c r="AS24" s="20">
        <v>0.76601286076256048</v>
      </c>
      <c r="AT24" s="20">
        <v>0.23236187803474626</v>
      </c>
      <c r="AU24" s="21" t="s">
        <v>229</v>
      </c>
      <c r="AV24" s="21" t="s">
        <v>107</v>
      </c>
    </row>
    <row r="25" spans="1:48" x14ac:dyDescent="0.35">
      <c r="A25" t="s">
        <v>136</v>
      </c>
      <c r="B25" t="s">
        <v>132</v>
      </c>
      <c r="C25" t="s">
        <v>133</v>
      </c>
      <c r="D25" s="17">
        <v>91550</v>
      </c>
      <c r="E25" s="17">
        <v>27842</v>
      </c>
      <c r="F25" s="17">
        <v>63656</v>
      </c>
      <c r="G25" s="17">
        <v>2880</v>
      </c>
      <c r="H25" s="17">
        <v>93873</v>
      </c>
      <c r="I25" s="17">
        <v>7895</v>
      </c>
      <c r="J25" s="17">
        <v>4580</v>
      </c>
      <c r="K25" s="17">
        <v>1812</v>
      </c>
      <c r="L25" s="17">
        <v>2003</v>
      </c>
      <c r="M25" s="17">
        <v>2509</v>
      </c>
      <c r="N25" s="17">
        <v>1106</v>
      </c>
      <c r="O25" s="17">
        <v>73968</v>
      </c>
      <c r="P25" s="17">
        <v>18862</v>
      </c>
      <c r="Q25" s="17">
        <v>609</v>
      </c>
      <c r="R25" s="17">
        <v>56</v>
      </c>
      <c r="S25" s="17">
        <v>149</v>
      </c>
      <c r="T25" s="17">
        <v>266</v>
      </c>
      <c r="U25" s="17">
        <v>138</v>
      </c>
      <c r="V25" s="17">
        <v>67669</v>
      </c>
      <c r="W25" s="17">
        <v>10512</v>
      </c>
      <c r="X25" s="17">
        <v>53894</v>
      </c>
      <c r="Y25" s="17">
        <v>4237</v>
      </c>
      <c r="Z25" s="17">
        <v>19905</v>
      </c>
      <c r="AA25" s="17">
        <v>55812</v>
      </c>
      <c r="AB25" s="17">
        <v>4934</v>
      </c>
      <c r="AC25" s="17">
        <v>11805</v>
      </c>
      <c r="AD25" s="17">
        <v>5578</v>
      </c>
      <c r="AE25" s="17">
        <v>1918</v>
      </c>
      <c r="AF25" s="17">
        <v>697</v>
      </c>
      <c r="AG25" s="18">
        <v>0.15534439699123676</v>
      </c>
      <c r="AH25" s="18">
        <v>3.4365369454597575E-2</v>
      </c>
      <c r="AI25" s="18">
        <v>0.82477944110301615</v>
      </c>
      <c r="AJ25" s="19">
        <v>3.2287138161382671E-2</v>
      </c>
      <c r="AK25" s="18">
        <v>0.7964355908909545</v>
      </c>
      <c r="AL25" s="18">
        <v>0.17445211248873191</v>
      </c>
      <c r="AM25" s="19">
        <v>2.9689322447248438E-3</v>
      </c>
      <c r="AN25" s="19">
        <v>7.8994804368571724E-3</v>
      </c>
      <c r="AO25" s="19">
        <v>1.4102428162443007E-2</v>
      </c>
      <c r="AP25" s="19">
        <v>7.31629731735765E-3</v>
      </c>
      <c r="AQ25" s="20">
        <v>4.5243182103807969E-2</v>
      </c>
      <c r="AR25" s="20">
        <v>0.66385581649371928</v>
      </c>
      <c r="AS25" s="20">
        <v>0.6953140360458766</v>
      </c>
      <c r="AT25" s="20">
        <v>0.30411796832332061</v>
      </c>
      <c r="AU25" s="21" t="s">
        <v>230</v>
      </c>
      <c r="AV25" s="21" t="s">
        <v>107</v>
      </c>
    </row>
    <row r="26" spans="1:48" x14ac:dyDescent="0.35">
      <c r="A26" t="s">
        <v>137</v>
      </c>
      <c r="B26" t="s">
        <v>132</v>
      </c>
      <c r="C26" t="s">
        <v>133</v>
      </c>
      <c r="D26" s="17">
        <v>90846</v>
      </c>
      <c r="E26" s="17">
        <v>25242</v>
      </c>
      <c r="F26" s="17">
        <v>65518</v>
      </c>
      <c r="G26" s="17">
        <v>2934</v>
      </c>
      <c r="H26" s="17">
        <v>105379</v>
      </c>
      <c r="I26" s="17">
        <v>4865</v>
      </c>
      <c r="J26" s="17">
        <v>5104</v>
      </c>
      <c r="K26" s="17">
        <v>2046</v>
      </c>
      <c r="L26" s="17">
        <v>1991</v>
      </c>
      <c r="M26" s="17">
        <v>3241</v>
      </c>
      <c r="N26" s="17">
        <v>1075</v>
      </c>
      <c r="O26" s="17">
        <v>87057</v>
      </c>
      <c r="P26" s="17">
        <v>23890</v>
      </c>
      <c r="Q26" s="17">
        <v>1440</v>
      </c>
      <c r="R26" s="17">
        <v>163</v>
      </c>
      <c r="S26" s="17">
        <v>301</v>
      </c>
      <c r="T26" s="17">
        <v>602</v>
      </c>
      <c r="U26" s="17">
        <v>374</v>
      </c>
      <c r="V26" s="17">
        <v>71180</v>
      </c>
      <c r="W26" s="17">
        <v>6472</v>
      </c>
      <c r="X26" s="17">
        <v>58239</v>
      </c>
      <c r="Y26" s="17">
        <v>2242</v>
      </c>
      <c r="Z26" s="17">
        <v>18322</v>
      </c>
      <c r="AA26" s="17">
        <v>60839</v>
      </c>
      <c r="AB26" s="17">
        <v>3094</v>
      </c>
      <c r="AC26" s="17">
        <v>10255</v>
      </c>
      <c r="AD26" s="17">
        <v>3378</v>
      </c>
      <c r="AE26" s="17">
        <v>2600</v>
      </c>
      <c r="AF26" s="17">
        <v>852</v>
      </c>
      <c r="AG26" s="18">
        <v>9.0924416971059283E-2</v>
      </c>
      <c r="AH26" s="18">
        <v>4.2735745163464227E-2</v>
      </c>
      <c r="AI26" s="18">
        <v>0.85472042708626017</v>
      </c>
      <c r="AJ26" s="19">
        <v>6.0276266220175803E-2</v>
      </c>
      <c r="AK26" s="18">
        <v>0.81819331272829443</v>
      </c>
      <c r="AL26" s="18">
        <v>0.1440713683618994</v>
      </c>
      <c r="AM26" s="19">
        <v>6.8229384679782332E-3</v>
      </c>
      <c r="AN26" s="19">
        <v>1.2599413980745081E-2</v>
      </c>
      <c r="AO26" s="19">
        <v>2.5198827961490162E-2</v>
      </c>
      <c r="AP26" s="19">
        <v>1.5655085809962329E-2</v>
      </c>
      <c r="AQ26" s="20">
        <v>4.4781586739521963E-2</v>
      </c>
      <c r="AR26" s="20">
        <v>0.68890209805605085</v>
      </c>
      <c r="AS26" s="20">
        <v>0.72119851176716643</v>
      </c>
      <c r="AT26" s="20">
        <v>0.27785483125288951</v>
      </c>
      <c r="AU26" s="21" t="s">
        <v>231</v>
      </c>
      <c r="AV26" s="21" t="s">
        <v>107</v>
      </c>
    </row>
    <row r="27" spans="1:48" x14ac:dyDescent="0.35">
      <c r="A27" t="s">
        <v>138</v>
      </c>
      <c r="B27" t="s">
        <v>132</v>
      </c>
      <c r="C27" t="s">
        <v>133</v>
      </c>
      <c r="D27" s="17">
        <v>89490</v>
      </c>
      <c r="E27" s="17">
        <v>20015</v>
      </c>
      <c r="F27" s="17">
        <v>69368</v>
      </c>
      <c r="G27" s="17">
        <v>2292</v>
      </c>
      <c r="H27" s="17">
        <v>104797</v>
      </c>
      <c r="I27" s="17">
        <v>2761</v>
      </c>
      <c r="J27" s="17">
        <v>2655</v>
      </c>
      <c r="K27" s="17">
        <v>831</v>
      </c>
      <c r="L27" s="17">
        <v>1194</v>
      </c>
      <c r="M27" s="17">
        <v>1652</v>
      </c>
      <c r="N27" s="17">
        <v>929</v>
      </c>
      <c r="O27" s="17">
        <v>94775</v>
      </c>
      <c r="P27" s="17">
        <v>23414</v>
      </c>
      <c r="Q27" s="17">
        <v>602</v>
      </c>
      <c r="R27" s="17">
        <v>64</v>
      </c>
      <c r="S27" s="17">
        <v>157</v>
      </c>
      <c r="T27" s="17">
        <v>298</v>
      </c>
      <c r="U27" s="17">
        <v>83</v>
      </c>
      <c r="V27" s="17">
        <v>73528</v>
      </c>
      <c r="W27" s="17">
        <v>3863</v>
      </c>
      <c r="X27" s="17">
        <v>63243</v>
      </c>
      <c r="Y27" s="17">
        <v>1454</v>
      </c>
      <c r="Z27" s="17">
        <v>10022</v>
      </c>
      <c r="AA27" s="17">
        <v>65389</v>
      </c>
      <c r="AB27" s="17">
        <v>2040</v>
      </c>
      <c r="AC27" s="17">
        <v>8032</v>
      </c>
      <c r="AD27" s="17">
        <v>1823</v>
      </c>
      <c r="AE27" s="17">
        <v>2146</v>
      </c>
      <c r="AF27" s="17">
        <v>586</v>
      </c>
      <c r="AG27" s="18">
        <v>5.2537808725927539E-2</v>
      </c>
      <c r="AH27" s="18">
        <v>3.281897566869045E-2</v>
      </c>
      <c r="AI27" s="18">
        <v>0.88930747470351434</v>
      </c>
      <c r="AJ27" s="19">
        <v>2.5711113009310668E-2</v>
      </c>
      <c r="AK27" s="18">
        <v>0.86012131432923511</v>
      </c>
      <c r="AL27" s="18">
        <v>0.10923729735610924</v>
      </c>
      <c r="AM27" s="19">
        <v>2.7334073631160843E-3</v>
      </c>
      <c r="AN27" s="19">
        <v>6.7053899376441446E-3</v>
      </c>
      <c r="AO27" s="19">
        <v>1.2727428034509268E-2</v>
      </c>
      <c r="AP27" s="19">
        <v>3.5448876740411719E-3</v>
      </c>
      <c r="AQ27" s="20">
        <v>3.3041171721831394E-2</v>
      </c>
      <c r="AR27" s="20">
        <v>0.74953626103475246</v>
      </c>
      <c r="AS27" s="20">
        <v>0.77514806123589231</v>
      </c>
      <c r="AT27" s="20">
        <v>0.22365627444407196</v>
      </c>
      <c r="AU27" s="21" t="s">
        <v>232</v>
      </c>
      <c r="AV27" s="21" t="s">
        <v>107</v>
      </c>
    </row>
    <row r="28" spans="1:48" x14ac:dyDescent="0.35">
      <c r="A28" t="s">
        <v>139</v>
      </c>
      <c r="B28" t="s">
        <v>132</v>
      </c>
      <c r="C28" t="s">
        <v>133</v>
      </c>
      <c r="D28" s="17">
        <v>95692</v>
      </c>
      <c r="E28" s="17">
        <v>19436</v>
      </c>
      <c r="F28" s="17">
        <v>76035</v>
      </c>
      <c r="G28" s="17">
        <v>3042</v>
      </c>
      <c r="H28" s="17">
        <v>98649</v>
      </c>
      <c r="I28" s="17">
        <v>5205</v>
      </c>
      <c r="J28" s="17">
        <v>3299</v>
      </c>
      <c r="K28" s="17">
        <v>1654</v>
      </c>
      <c r="L28" s="17">
        <v>1903</v>
      </c>
      <c r="M28" s="17">
        <v>1960</v>
      </c>
      <c r="N28" s="17">
        <v>939</v>
      </c>
      <c r="O28" s="17">
        <v>83689</v>
      </c>
      <c r="P28" s="17">
        <v>17004</v>
      </c>
      <c r="Q28" s="17">
        <v>523</v>
      </c>
      <c r="R28" s="17">
        <v>38</v>
      </c>
      <c r="S28" s="17">
        <v>195</v>
      </c>
      <c r="T28" s="17">
        <v>155</v>
      </c>
      <c r="U28" s="17">
        <v>135</v>
      </c>
      <c r="V28" s="17">
        <v>81455</v>
      </c>
      <c r="W28" s="17">
        <v>6861</v>
      </c>
      <c r="X28" s="17">
        <v>69958</v>
      </c>
      <c r="Y28" s="17">
        <v>2506</v>
      </c>
      <c r="Z28" s="17">
        <v>14960</v>
      </c>
      <c r="AA28" s="17">
        <v>72636</v>
      </c>
      <c r="AB28" s="17">
        <v>3298</v>
      </c>
      <c r="AC28" s="17">
        <v>8665</v>
      </c>
      <c r="AD28" s="17">
        <v>3563</v>
      </c>
      <c r="AE28" s="17">
        <v>2678</v>
      </c>
      <c r="AF28" s="17">
        <v>792</v>
      </c>
      <c r="AG28" s="18">
        <v>8.4230556749125288E-2</v>
      </c>
      <c r="AH28" s="18">
        <v>3.6868770306734952E-2</v>
      </c>
      <c r="AI28" s="18">
        <v>0.89173163096188079</v>
      </c>
      <c r="AJ28" s="19">
        <v>3.0757468830863326E-2</v>
      </c>
      <c r="AK28" s="18">
        <v>0.85885458228469702</v>
      </c>
      <c r="AL28" s="18">
        <v>0.10637775458842305</v>
      </c>
      <c r="AM28" s="19">
        <v>2.2347682898141612E-3</v>
      </c>
      <c r="AN28" s="19">
        <v>1.1467889908256881E-2</v>
      </c>
      <c r="AO28" s="19">
        <v>9.1155022347682892E-3</v>
      </c>
      <c r="AP28" s="19">
        <v>7.9393083980239948E-3</v>
      </c>
      <c r="AQ28" s="20">
        <v>4.0007891102781613E-2</v>
      </c>
      <c r="AR28" s="20">
        <v>0.76279103791330516</v>
      </c>
      <c r="AS28" s="20">
        <v>0.79458052919784306</v>
      </c>
      <c r="AT28" s="20">
        <v>0.20310997784558793</v>
      </c>
      <c r="AU28" s="21" t="s">
        <v>233</v>
      </c>
      <c r="AV28" s="21" t="s">
        <v>107</v>
      </c>
    </row>
    <row r="29" spans="1:48" x14ac:dyDescent="0.35">
      <c r="A29" t="s">
        <v>140</v>
      </c>
      <c r="B29" t="s">
        <v>105</v>
      </c>
      <c r="C29" t="s">
        <v>141</v>
      </c>
      <c r="D29" s="17">
        <v>4819</v>
      </c>
      <c r="E29" s="17">
        <v>1571</v>
      </c>
      <c r="F29" s="17">
        <v>3248</v>
      </c>
      <c r="G29" s="17">
        <v>95</v>
      </c>
      <c r="H29" s="17">
        <v>6105</v>
      </c>
      <c r="I29" s="17">
        <v>190</v>
      </c>
      <c r="J29" s="17">
        <v>64</v>
      </c>
      <c r="K29" s="17">
        <v>16</v>
      </c>
      <c r="L29" s="17">
        <v>46</v>
      </c>
      <c r="M29" s="17">
        <v>49</v>
      </c>
      <c r="N29" s="17">
        <v>41</v>
      </c>
      <c r="O29" s="17">
        <v>5699</v>
      </c>
      <c r="P29" s="17">
        <v>1839</v>
      </c>
      <c r="Q29" s="17">
        <v>49</v>
      </c>
      <c r="R29" s="17">
        <v>18</v>
      </c>
      <c r="S29" s="17">
        <v>0</v>
      </c>
      <c r="T29" s="17">
        <v>31</v>
      </c>
      <c r="U29" s="17">
        <v>0</v>
      </c>
      <c r="V29" s="17">
        <v>3556</v>
      </c>
      <c r="W29" s="17">
        <v>170</v>
      </c>
      <c r="X29" s="17">
        <v>2912</v>
      </c>
      <c r="Y29" s="17">
        <v>32</v>
      </c>
      <c r="Z29" s="17">
        <v>406</v>
      </c>
      <c r="AA29" s="17">
        <v>2998</v>
      </c>
      <c r="AB29" s="17">
        <v>63</v>
      </c>
      <c r="AC29" s="17">
        <v>558</v>
      </c>
      <c r="AD29" s="17">
        <v>107</v>
      </c>
      <c r="AE29" s="17">
        <v>86</v>
      </c>
      <c r="AF29" s="17">
        <v>31</v>
      </c>
      <c r="AG29" s="18">
        <v>4.7806524184476944E-2</v>
      </c>
      <c r="AH29" s="18">
        <v>2.8685790527018012E-2</v>
      </c>
      <c r="AI29" s="18">
        <v>0.84308211473565808</v>
      </c>
      <c r="AJ29" s="19">
        <v>2.6644915715062535E-2</v>
      </c>
      <c r="AK29" s="18">
        <v>0.81889763779527558</v>
      </c>
      <c r="AL29" s="18">
        <v>0.15691788526434194</v>
      </c>
      <c r="AM29" s="19">
        <v>9.7879282218597055E-3</v>
      </c>
      <c r="AN29" s="19">
        <v>0</v>
      </c>
      <c r="AO29" s="19">
        <v>1.6856987493202826E-2</v>
      </c>
      <c r="AP29" s="19">
        <v>0</v>
      </c>
      <c r="AQ29" s="20">
        <v>2.9248768472906403E-2</v>
      </c>
      <c r="AR29" s="20">
        <v>0.65428512139448014</v>
      </c>
      <c r="AS29" s="20">
        <v>0.67399875492840844</v>
      </c>
      <c r="AT29" s="20">
        <v>0.32600124507159162</v>
      </c>
      <c r="AU29" s="21" t="s">
        <v>234</v>
      </c>
      <c r="AV29" s="21" t="s">
        <v>107</v>
      </c>
    </row>
    <row r="30" spans="1:48" x14ac:dyDescent="0.35">
      <c r="A30" t="s">
        <v>142</v>
      </c>
      <c r="B30" t="s">
        <v>105</v>
      </c>
      <c r="C30" t="s">
        <v>141</v>
      </c>
      <c r="D30" s="17">
        <v>12592</v>
      </c>
      <c r="E30" s="17">
        <v>3294</v>
      </c>
      <c r="F30" s="17">
        <v>9298</v>
      </c>
      <c r="G30" s="17">
        <v>297</v>
      </c>
      <c r="H30" s="17">
        <v>15042</v>
      </c>
      <c r="I30" s="17">
        <v>358</v>
      </c>
      <c r="J30" s="17">
        <v>457</v>
      </c>
      <c r="K30" s="17">
        <v>96</v>
      </c>
      <c r="L30" s="17">
        <v>285</v>
      </c>
      <c r="M30" s="17">
        <v>354</v>
      </c>
      <c r="N30" s="17">
        <v>33</v>
      </c>
      <c r="O30" s="17">
        <v>13459</v>
      </c>
      <c r="P30" s="17">
        <v>3865</v>
      </c>
      <c r="Q30" s="17">
        <v>28</v>
      </c>
      <c r="R30" s="17">
        <v>10</v>
      </c>
      <c r="S30" s="17">
        <v>8</v>
      </c>
      <c r="T30" s="17">
        <v>10</v>
      </c>
      <c r="U30" s="17">
        <v>0</v>
      </c>
      <c r="V30" s="17">
        <v>9746</v>
      </c>
      <c r="W30" s="17">
        <v>597</v>
      </c>
      <c r="X30" s="17">
        <v>8271</v>
      </c>
      <c r="Y30" s="17">
        <v>251</v>
      </c>
      <c r="Z30" s="17">
        <v>1583</v>
      </c>
      <c r="AA30" s="17">
        <v>8537</v>
      </c>
      <c r="AB30" s="17">
        <v>380</v>
      </c>
      <c r="AC30" s="17">
        <v>1209</v>
      </c>
      <c r="AD30" s="17">
        <v>217</v>
      </c>
      <c r="AE30" s="17">
        <v>266</v>
      </c>
      <c r="AF30" s="17">
        <v>129</v>
      </c>
      <c r="AG30" s="18">
        <v>6.1255899856351326E-2</v>
      </c>
      <c r="AH30" s="18">
        <v>3.1158486587794305E-2</v>
      </c>
      <c r="AI30" s="18">
        <v>0.87594910732608244</v>
      </c>
      <c r="AJ30" s="19">
        <v>7.2445019404915913E-3</v>
      </c>
      <c r="AK30" s="18">
        <v>0.8486558588138724</v>
      </c>
      <c r="AL30" s="18">
        <v>0.1240508926739175</v>
      </c>
      <c r="AM30" s="19">
        <v>2.5873221216041399E-3</v>
      </c>
      <c r="AN30" s="19">
        <v>2.0698576972833119E-3</v>
      </c>
      <c r="AO30" s="19">
        <v>2.5873221216041399E-3</v>
      </c>
      <c r="AP30" s="19">
        <v>0</v>
      </c>
      <c r="AQ30" s="20">
        <v>3.1942353194235322E-2</v>
      </c>
      <c r="AR30" s="20">
        <v>0.71481893265565444</v>
      </c>
      <c r="AS30" s="20">
        <v>0.73840533672172803</v>
      </c>
      <c r="AT30" s="20">
        <v>0.26159466327827191</v>
      </c>
      <c r="AU30" s="21" t="s">
        <v>235</v>
      </c>
      <c r="AV30" s="21" t="s">
        <v>107</v>
      </c>
    </row>
    <row r="31" spans="1:48" x14ac:dyDescent="0.35">
      <c r="A31" t="s">
        <v>143</v>
      </c>
      <c r="B31" t="s">
        <v>105</v>
      </c>
      <c r="C31" t="s">
        <v>141</v>
      </c>
      <c r="D31" s="17">
        <v>20307</v>
      </c>
      <c r="E31" s="17">
        <v>4876</v>
      </c>
      <c r="F31" s="17">
        <v>15414</v>
      </c>
      <c r="G31" s="17">
        <v>685</v>
      </c>
      <c r="H31" s="17">
        <v>23529</v>
      </c>
      <c r="I31" s="17">
        <v>893</v>
      </c>
      <c r="J31" s="17">
        <v>565</v>
      </c>
      <c r="K31" s="17">
        <v>352</v>
      </c>
      <c r="L31" s="17">
        <v>284</v>
      </c>
      <c r="M31" s="17">
        <v>374</v>
      </c>
      <c r="N31" s="17">
        <v>953</v>
      </c>
      <c r="O31" s="17">
        <v>20108</v>
      </c>
      <c r="P31" s="17">
        <v>5391</v>
      </c>
      <c r="Q31" s="17">
        <v>155</v>
      </c>
      <c r="R31" s="17">
        <v>45</v>
      </c>
      <c r="S31" s="17">
        <v>50</v>
      </c>
      <c r="T31" s="17">
        <v>37</v>
      </c>
      <c r="U31" s="17">
        <v>23</v>
      </c>
      <c r="V31" s="17">
        <v>16479</v>
      </c>
      <c r="W31" s="17">
        <v>991</v>
      </c>
      <c r="X31" s="17">
        <v>14013</v>
      </c>
      <c r="Y31" s="17">
        <v>640</v>
      </c>
      <c r="Z31" s="17">
        <v>3421</v>
      </c>
      <c r="AA31" s="17">
        <v>14638</v>
      </c>
      <c r="AB31" s="17">
        <v>680</v>
      </c>
      <c r="AC31" s="17">
        <v>1824</v>
      </c>
      <c r="AD31" s="17">
        <v>311</v>
      </c>
      <c r="AE31" s="17">
        <v>625</v>
      </c>
      <c r="AF31" s="17">
        <v>40</v>
      </c>
      <c r="AG31" s="18">
        <v>6.0137144244189575E-2</v>
      </c>
      <c r="AH31" s="18">
        <v>4.2697089766361523E-2</v>
      </c>
      <c r="AI31" s="18">
        <v>0.88828205594999698</v>
      </c>
      <c r="AJ31" s="19">
        <v>2.8751623075496197E-2</v>
      </c>
      <c r="AK31" s="18">
        <v>0.85035499726925179</v>
      </c>
      <c r="AL31" s="18">
        <v>0.11068632805388677</v>
      </c>
      <c r="AM31" s="19">
        <v>8.3472454090150246E-3</v>
      </c>
      <c r="AN31" s="19">
        <v>9.2747171211278057E-3</v>
      </c>
      <c r="AO31" s="19">
        <v>6.8632906696345763E-3</v>
      </c>
      <c r="AP31" s="19">
        <v>4.2663698757187908E-3</v>
      </c>
      <c r="AQ31" s="20">
        <v>4.444011937199948E-2</v>
      </c>
      <c r="AR31" s="20">
        <v>0.72531639336189491</v>
      </c>
      <c r="AS31" s="20">
        <v>0.75904860392967943</v>
      </c>
      <c r="AT31" s="20">
        <v>0.2401142463190033</v>
      </c>
      <c r="AU31" s="21" t="s">
        <v>236</v>
      </c>
      <c r="AV31" s="21" t="s">
        <v>107</v>
      </c>
    </row>
    <row r="32" spans="1:48" x14ac:dyDescent="0.35">
      <c r="A32" t="s">
        <v>144</v>
      </c>
      <c r="B32" t="s">
        <v>105</v>
      </c>
      <c r="C32" t="s">
        <v>141</v>
      </c>
      <c r="D32" s="17">
        <v>10477</v>
      </c>
      <c r="E32" s="17">
        <v>3322</v>
      </c>
      <c r="F32" s="17">
        <v>7155</v>
      </c>
      <c r="G32" s="17">
        <v>191</v>
      </c>
      <c r="H32" s="17">
        <v>11920</v>
      </c>
      <c r="I32" s="17">
        <v>267</v>
      </c>
      <c r="J32" s="17">
        <v>203</v>
      </c>
      <c r="K32" s="17">
        <v>236</v>
      </c>
      <c r="L32" s="17">
        <v>187</v>
      </c>
      <c r="M32" s="17">
        <v>179</v>
      </c>
      <c r="N32" s="17">
        <v>15</v>
      </c>
      <c r="O32" s="17">
        <v>10833</v>
      </c>
      <c r="P32" s="17">
        <v>3107</v>
      </c>
      <c r="Q32" s="17">
        <v>61</v>
      </c>
      <c r="R32" s="17">
        <v>0</v>
      </c>
      <c r="S32" s="17">
        <v>28</v>
      </c>
      <c r="T32" s="17">
        <v>0</v>
      </c>
      <c r="U32" s="17">
        <v>33</v>
      </c>
      <c r="V32" s="17">
        <v>7808</v>
      </c>
      <c r="W32" s="17">
        <v>428</v>
      </c>
      <c r="X32" s="17">
        <v>6567</v>
      </c>
      <c r="Y32" s="17">
        <v>109</v>
      </c>
      <c r="Z32" s="17">
        <v>1087</v>
      </c>
      <c r="AA32" s="17">
        <v>6729</v>
      </c>
      <c r="AB32" s="17">
        <v>163</v>
      </c>
      <c r="AC32" s="17">
        <v>1079</v>
      </c>
      <c r="AD32" s="17">
        <v>265</v>
      </c>
      <c r="AE32" s="17">
        <v>162</v>
      </c>
      <c r="AF32" s="17">
        <v>54</v>
      </c>
      <c r="AG32" s="18">
        <v>5.4815573770491802E-2</v>
      </c>
      <c r="AH32" s="18">
        <v>2.4074899687917966E-2</v>
      </c>
      <c r="AI32" s="18">
        <v>0.86180840163934425</v>
      </c>
      <c r="AJ32" s="19">
        <v>1.9633086578693275E-2</v>
      </c>
      <c r="AK32" s="18">
        <v>0.84106045081967218</v>
      </c>
      <c r="AL32" s="18">
        <v>0.13819159836065573</v>
      </c>
      <c r="AM32" s="19">
        <v>0</v>
      </c>
      <c r="AN32" s="19">
        <v>9.0119085934985514E-3</v>
      </c>
      <c r="AO32" s="19">
        <v>0</v>
      </c>
      <c r="AP32" s="19">
        <v>1.0621177985194722E-2</v>
      </c>
      <c r="AQ32" s="20">
        <v>2.6694619147449337E-2</v>
      </c>
      <c r="AR32" s="20">
        <v>0.66469409182017758</v>
      </c>
      <c r="AS32" s="20">
        <v>0.68292450128853677</v>
      </c>
      <c r="AT32" s="20">
        <v>0.31707549871146323</v>
      </c>
      <c r="AU32" s="21" t="s">
        <v>237</v>
      </c>
      <c r="AV32" s="21" t="s">
        <v>107</v>
      </c>
    </row>
    <row r="33" spans="1:48" x14ac:dyDescent="0.35">
      <c r="A33" t="s">
        <v>145</v>
      </c>
      <c r="B33" t="s">
        <v>105</v>
      </c>
      <c r="C33" t="s">
        <v>146</v>
      </c>
      <c r="D33" s="17">
        <v>5273</v>
      </c>
      <c r="E33" s="17">
        <v>1280</v>
      </c>
      <c r="F33" s="17">
        <v>3933</v>
      </c>
      <c r="G33" s="17">
        <v>308</v>
      </c>
      <c r="H33" s="17">
        <v>5803</v>
      </c>
      <c r="I33" s="17">
        <v>305</v>
      </c>
      <c r="J33" s="17">
        <v>154</v>
      </c>
      <c r="K33" s="17">
        <v>58</v>
      </c>
      <c r="L33" s="17">
        <v>16</v>
      </c>
      <c r="M33" s="17">
        <v>352</v>
      </c>
      <c r="N33" s="17">
        <v>63</v>
      </c>
      <c r="O33" s="17">
        <v>4855</v>
      </c>
      <c r="P33" s="17">
        <v>1145</v>
      </c>
      <c r="Q33" s="17">
        <v>0</v>
      </c>
      <c r="R33" s="17">
        <v>0</v>
      </c>
      <c r="S33" s="17">
        <v>0</v>
      </c>
      <c r="T33" s="17">
        <v>0</v>
      </c>
      <c r="U33" s="17">
        <v>0</v>
      </c>
      <c r="V33" s="17">
        <v>4643</v>
      </c>
      <c r="W33" s="17">
        <v>436</v>
      </c>
      <c r="X33" s="17">
        <v>3574</v>
      </c>
      <c r="Y33" s="17">
        <v>64</v>
      </c>
      <c r="Z33" s="17">
        <v>948</v>
      </c>
      <c r="AA33" s="17">
        <v>3866</v>
      </c>
      <c r="AB33" s="17">
        <v>207</v>
      </c>
      <c r="AC33" s="17">
        <v>717</v>
      </c>
      <c r="AD33" s="17">
        <v>229</v>
      </c>
      <c r="AE33" s="17">
        <v>292</v>
      </c>
      <c r="AF33" s="17">
        <v>143</v>
      </c>
      <c r="AG33" s="18">
        <v>9.3904802929140635E-2</v>
      </c>
      <c r="AH33" s="18">
        <v>7.5530263838592862E-2</v>
      </c>
      <c r="AI33" s="18">
        <v>0.83265130303682966</v>
      </c>
      <c r="AJ33" s="19">
        <v>0</v>
      </c>
      <c r="AK33" s="18">
        <v>0.76976093043290972</v>
      </c>
      <c r="AL33" s="18">
        <v>0.15442601766099504</v>
      </c>
      <c r="AM33" s="19">
        <v>0</v>
      </c>
      <c r="AN33" s="19">
        <v>0</v>
      </c>
      <c r="AO33" s="19">
        <v>0</v>
      </c>
      <c r="AP33" s="19">
        <v>0</v>
      </c>
      <c r="AQ33" s="20">
        <v>7.83117213323163E-2</v>
      </c>
      <c r="AR33" s="20">
        <v>0.68746444149440544</v>
      </c>
      <c r="AS33" s="20">
        <v>0.74587521335103357</v>
      </c>
      <c r="AT33" s="20">
        <v>0.24274606485871419</v>
      </c>
      <c r="AU33" s="21" t="s">
        <v>238</v>
      </c>
      <c r="AV33" s="21" t="s">
        <v>107</v>
      </c>
    </row>
    <row r="34" spans="1:48" x14ac:dyDescent="0.35">
      <c r="A34" t="s">
        <v>147</v>
      </c>
      <c r="B34" t="s">
        <v>105</v>
      </c>
      <c r="C34" t="s">
        <v>146</v>
      </c>
      <c r="D34" s="17">
        <v>7061</v>
      </c>
      <c r="E34" s="17">
        <v>2276</v>
      </c>
      <c r="F34" s="17">
        <v>4785</v>
      </c>
      <c r="G34" s="17">
        <v>195</v>
      </c>
      <c r="H34" s="17">
        <v>9132</v>
      </c>
      <c r="I34" s="17">
        <v>596</v>
      </c>
      <c r="J34" s="17">
        <v>644</v>
      </c>
      <c r="K34" s="17">
        <v>1097</v>
      </c>
      <c r="L34" s="17">
        <v>391</v>
      </c>
      <c r="M34" s="17">
        <v>313</v>
      </c>
      <c r="N34" s="17">
        <v>131</v>
      </c>
      <c r="O34" s="17">
        <v>5960</v>
      </c>
      <c r="P34" s="17">
        <v>2273</v>
      </c>
      <c r="Q34" s="17">
        <v>196</v>
      </c>
      <c r="R34" s="17">
        <v>58</v>
      </c>
      <c r="S34" s="17">
        <v>22</v>
      </c>
      <c r="T34" s="17">
        <v>60</v>
      </c>
      <c r="U34" s="17">
        <v>56</v>
      </c>
      <c r="V34" s="17">
        <v>5964</v>
      </c>
      <c r="W34" s="17">
        <v>682</v>
      </c>
      <c r="X34" s="17">
        <v>4448</v>
      </c>
      <c r="Y34" s="17">
        <v>110</v>
      </c>
      <c r="Z34" s="17">
        <v>3172</v>
      </c>
      <c r="AA34" s="17">
        <v>4632</v>
      </c>
      <c r="AB34" s="17">
        <v>160</v>
      </c>
      <c r="AC34" s="17">
        <v>1332</v>
      </c>
      <c r="AD34" s="17">
        <v>522</v>
      </c>
      <c r="AE34" s="17">
        <v>184</v>
      </c>
      <c r="AF34" s="17">
        <v>50</v>
      </c>
      <c r="AG34" s="18">
        <v>0.11435278336686787</v>
      </c>
      <c r="AH34" s="18">
        <v>3.9723661485319514E-2</v>
      </c>
      <c r="AI34" s="18">
        <v>0.77665995975855129</v>
      </c>
      <c r="AJ34" s="19">
        <v>8.6229652441706994E-2</v>
      </c>
      <c r="AK34" s="18">
        <v>0.7458081824279007</v>
      </c>
      <c r="AL34" s="18">
        <v>0.22334004024144868</v>
      </c>
      <c r="AM34" s="19">
        <v>2.5516937967443906E-2</v>
      </c>
      <c r="AN34" s="19">
        <v>9.6788385393752757E-3</v>
      </c>
      <c r="AO34" s="19">
        <v>2.6396832380114386E-2</v>
      </c>
      <c r="AP34" s="19">
        <v>2.4637043554773426E-2</v>
      </c>
      <c r="AQ34" s="20">
        <v>4.0752351097178681E-2</v>
      </c>
      <c r="AR34" s="20">
        <v>0.65004956804985126</v>
      </c>
      <c r="AS34" s="20">
        <v>0.67766605296700189</v>
      </c>
      <c r="AT34" s="20">
        <v>0.32233394703299817</v>
      </c>
      <c r="AU34" s="21" t="s">
        <v>239</v>
      </c>
      <c r="AV34" s="21" t="s">
        <v>107</v>
      </c>
    </row>
    <row r="35" spans="1:48" x14ac:dyDescent="0.35">
      <c r="A35" t="s">
        <v>148</v>
      </c>
      <c r="B35" t="s">
        <v>105</v>
      </c>
      <c r="C35" t="s">
        <v>146</v>
      </c>
      <c r="D35" s="17">
        <v>4058</v>
      </c>
      <c r="E35" s="17">
        <v>812</v>
      </c>
      <c r="F35" s="17">
        <v>3246</v>
      </c>
      <c r="G35" s="17">
        <v>83</v>
      </c>
      <c r="H35" s="17">
        <v>5014</v>
      </c>
      <c r="I35" s="17">
        <v>262</v>
      </c>
      <c r="J35" s="17">
        <v>88</v>
      </c>
      <c r="K35" s="17">
        <v>0</v>
      </c>
      <c r="L35" s="17">
        <v>15</v>
      </c>
      <c r="M35" s="17">
        <v>202</v>
      </c>
      <c r="N35" s="17">
        <v>33</v>
      </c>
      <c r="O35" s="17">
        <v>4414</v>
      </c>
      <c r="P35" s="17">
        <v>1220</v>
      </c>
      <c r="Q35" s="17">
        <v>44</v>
      </c>
      <c r="R35" s="17">
        <v>0</v>
      </c>
      <c r="S35" s="17">
        <v>0</v>
      </c>
      <c r="T35" s="17">
        <v>44</v>
      </c>
      <c r="U35" s="17">
        <v>0</v>
      </c>
      <c r="V35" s="17">
        <v>3446</v>
      </c>
      <c r="W35" s="17">
        <v>166</v>
      </c>
      <c r="X35" s="17">
        <v>3023</v>
      </c>
      <c r="Y35" s="17">
        <v>90</v>
      </c>
      <c r="Z35" s="17">
        <v>600</v>
      </c>
      <c r="AA35" s="17">
        <v>3098</v>
      </c>
      <c r="AB35" s="17">
        <v>105</v>
      </c>
      <c r="AC35" s="17">
        <v>348</v>
      </c>
      <c r="AD35" s="17">
        <v>61</v>
      </c>
      <c r="AE35" s="17">
        <v>75</v>
      </c>
      <c r="AF35" s="17">
        <v>15</v>
      </c>
      <c r="AG35" s="18">
        <v>4.8171793383633199E-2</v>
      </c>
      <c r="AH35" s="18">
        <v>2.420916720464816E-2</v>
      </c>
      <c r="AI35" s="18">
        <v>0.89901334881021477</v>
      </c>
      <c r="AJ35" s="19">
        <v>3.6065573770491806E-2</v>
      </c>
      <c r="AK35" s="18">
        <v>0.87724898432965759</v>
      </c>
      <c r="AL35" s="18">
        <v>0.10098665118978525</v>
      </c>
      <c r="AM35" s="19">
        <v>0</v>
      </c>
      <c r="AN35" s="19">
        <v>0</v>
      </c>
      <c r="AO35" s="19">
        <v>3.6065573770491806E-2</v>
      </c>
      <c r="AP35" s="19">
        <v>0</v>
      </c>
      <c r="AQ35" s="20">
        <v>2.5569932224276032E-2</v>
      </c>
      <c r="AR35" s="20">
        <v>0.77944800394282898</v>
      </c>
      <c r="AS35" s="20">
        <v>0.79990142927550523</v>
      </c>
      <c r="AT35" s="20">
        <v>0.20009857072449483</v>
      </c>
      <c r="AU35" s="21" t="s">
        <v>240</v>
      </c>
      <c r="AV35" s="21" t="s">
        <v>107</v>
      </c>
    </row>
    <row r="36" spans="1:48" x14ac:dyDescent="0.35">
      <c r="A36" t="s">
        <v>149</v>
      </c>
      <c r="B36" t="s">
        <v>105</v>
      </c>
      <c r="C36" t="s">
        <v>146</v>
      </c>
      <c r="D36" s="17">
        <v>11901</v>
      </c>
      <c r="E36" s="17">
        <v>2825</v>
      </c>
      <c r="F36" s="17">
        <v>9056</v>
      </c>
      <c r="G36" s="17">
        <v>446</v>
      </c>
      <c r="H36" s="17">
        <v>13846</v>
      </c>
      <c r="I36" s="17">
        <v>605</v>
      </c>
      <c r="J36" s="17">
        <v>643</v>
      </c>
      <c r="K36" s="17">
        <v>336</v>
      </c>
      <c r="L36" s="17">
        <v>162</v>
      </c>
      <c r="M36" s="17">
        <v>395</v>
      </c>
      <c r="N36" s="17">
        <v>248</v>
      </c>
      <c r="O36" s="17">
        <v>11457</v>
      </c>
      <c r="P36" s="17">
        <v>3303</v>
      </c>
      <c r="Q36" s="17">
        <v>161</v>
      </c>
      <c r="R36" s="17">
        <v>18</v>
      </c>
      <c r="S36" s="17">
        <v>13</v>
      </c>
      <c r="T36" s="17">
        <v>98</v>
      </c>
      <c r="U36" s="17">
        <v>32</v>
      </c>
      <c r="V36" s="17">
        <v>9750</v>
      </c>
      <c r="W36" s="17">
        <v>838</v>
      </c>
      <c r="X36" s="17">
        <v>8232</v>
      </c>
      <c r="Y36" s="17">
        <v>145</v>
      </c>
      <c r="Z36" s="17">
        <v>2389</v>
      </c>
      <c r="AA36" s="17">
        <v>8579</v>
      </c>
      <c r="AB36" s="17">
        <v>300</v>
      </c>
      <c r="AC36" s="17">
        <v>1151</v>
      </c>
      <c r="AD36" s="17">
        <v>538</v>
      </c>
      <c r="AE36" s="17">
        <v>347</v>
      </c>
      <c r="AF36" s="17">
        <v>155</v>
      </c>
      <c r="AG36" s="18">
        <v>8.5948717948717945E-2</v>
      </c>
      <c r="AH36" s="18">
        <v>4.0447604615922603E-2</v>
      </c>
      <c r="AI36" s="18">
        <v>0.87989743589743585</v>
      </c>
      <c r="AJ36" s="19">
        <v>4.8743566454738117E-2</v>
      </c>
      <c r="AK36" s="18">
        <v>0.84430769230769231</v>
      </c>
      <c r="AL36" s="18">
        <v>0.11805128205128206</v>
      </c>
      <c r="AM36" s="19">
        <v>5.4495912806539508E-3</v>
      </c>
      <c r="AN36" s="19">
        <v>3.9358159249167426E-3</v>
      </c>
      <c r="AO36" s="19">
        <v>2.9669996972449288E-2</v>
      </c>
      <c r="AP36" s="19">
        <v>9.6881622767181347E-3</v>
      </c>
      <c r="AQ36" s="20">
        <v>4.9249116607773855E-2</v>
      </c>
      <c r="AR36" s="20">
        <v>0.72346861608268209</v>
      </c>
      <c r="AS36" s="20">
        <v>0.76094445844886982</v>
      </c>
      <c r="AT36" s="20">
        <v>0.23737501050331905</v>
      </c>
      <c r="AU36" s="21" t="s">
        <v>241</v>
      </c>
      <c r="AV36" s="21" t="s">
        <v>107</v>
      </c>
    </row>
    <row r="37" spans="1:48" x14ac:dyDescent="0.35">
      <c r="A37" t="s">
        <v>150</v>
      </c>
      <c r="B37" t="s">
        <v>105</v>
      </c>
      <c r="C37" t="s">
        <v>146</v>
      </c>
      <c r="D37" s="17">
        <v>6775</v>
      </c>
      <c r="E37" s="17">
        <v>2242</v>
      </c>
      <c r="F37" s="17">
        <v>4517</v>
      </c>
      <c r="G37" s="17">
        <v>174</v>
      </c>
      <c r="H37" s="17">
        <v>8130</v>
      </c>
      <c r="I37" s="17">
        <v>369</v>
      </c>
      <c r="J37" s="17">
        <v>200</v>
      </c>
      <c r="K37" s="17">
        <v>238</v>
      </c>
      <c r="L37" s="17">
        <v>275</v>
      </c>
      <c r="M37" s="17">
        <v>653</v>
      </c>
      <c r="N37" s="17">
        <v>92</v>
      </c>
      <c r="O37" s="17">
        <v>6303</v>
      </c>
      <c r="P37" s="17">
        <v>1994</v>
      </c>
      <c r="Q37" s="17">
        <v>113</v>
      </c>
      <c r="R37" s="17">
        <v>0</v>
      </c>
      <c r="S37" s="17">
        <v>0</v>
      </c>
      <c r="T37" s="17">
        <v>33</v>
      </c>
      <c r="U37" s="17">
        <v>80</v>
      </c>
      <c r="V37" s="17">
        <v>5200</v>
      </c>
      <c r="W37" s="17">
        <v>390</v>
      </c>
      <c r="X37" s="17">
        <v>3985</v>
      </c>
      <c r="Y37" s="17">
        <v>148</v>
      </c>
      <c r="Z37" s="17">
        <v>1827</v>
      </c>
      <c r="AA37" s="17">
        <v>4145</v>
      </c>
      <c r="AB37" s="17">
        <v>157</v>
      </c>
      <c r="AC37" s="17">
        <v>1039</v>
      </c>
      <c r="AD37" s="17">
        <v>233</v>
      </c>
      <c r="AE37" s="17">
        <v>160</v>
      </c>
      <c r="AF37" s="17">
        <v>9</v>
      </c>
      <c r="AG37" s="18">
        <v>7.4999999999999997E-2</v>
      </c>
      <c r="AH37" s="18">
        <v>3.8600723763570564E-2</v>
      </c>
      <c r="AI37" s="18">
        <v>0.79711538461538467</v>
      </c>
      <c r="AJ37" s="19">
        <v>5.667001003009027E-2</v>
      </c>
      <c r="AK37" s="18">
        <v>0.7663461538461539</v>
      </c>
      <c r="AL37" s="18">
        <v>0.1998076923076923</v>
      </c>
      <c r="AM37" s="19">
        <v>0</v>
      </c>
      <c r="AN37" s="19">
        <v>0</v>
      </c>
      <c r="AO37" s="19">
        <v>1.6549648946840523E-2</v>
      </c>
      <c r="AP37" s="19">
        <v>4.0120361083249748E-2</v>
      </c>
      <c r="AQ37" s="20">
        <v>3.8521142351117997E-2</v>
      </c>
      <c r="AR37" s="20">
        <v>0.64103321033210336</v>
      </c>
      <c r="AS37" s="20">
        <v>0.66671586715867159</v>
      </c>
      <c r="AT37" s="20">
        <v>0.33092250922509225</v>
      </c>
      <c r="AU37" s="21" t="s">
        <v>242</v>
      </c>
      <c r="AV37" s="21" t="s">
        <v>107</v>
      </c>
    </row>
    <row r="38" spans="1:48" x14ac:dyDescent="0.35">
      <c r="A38" t="s">
        <v>151</v>
      </c>
      <c r="B38" t="s">
        <v>105</v>
      </c>
      <c r="C38" t="s">
        <v>152</v>
      </c>
      <c r="D38" s="17">
        <v>3281</v>
      </c>
      <c r="E38" s="17">
        <v>793</v>
      </c>
      <c r="F38" s="17">
        <v>2401</v>
      </c>
      <c r="G38" s="17">
        <v>160</v>
      </c>
      <c r="H38" s="17">
        <v>4003</v>
      </c>
      <c r="I38" s="17">
        <v>323</v>
      </c>
      <c r="J38" s="17">
        <v>558</v>
      </c>
      <c r="K38" s="17">
        <v>198</v>
      </c>
      <c r="L38" s="17">
        <v>362</v>
      </c>
      <c r="M38" s="17">
        <v>172</v>
      </c>
      <c r="N38" s="17">
        <v>9</v>
      </c>
      <c r="O38" s="17">
        <v>2381</v>
      </c>
      <c r="P38" s="17">
        <v>900</v>
      </c>
      <c r="Q38" s="17">
        <v>162</v>
      </c>
      <c r="R38" s="17">
        <v>52</v>
      </c>
      <c r="S38" s="17">
        <v>0</v>
      </c>
      <c r="T38" s="17">
        <v>101</v>
      </c>
      <c r="U38" s="17">
        <v>9</v>
      </c>
      <c r="V38" s="17">
        <v>2651</v>
      </c>
      <c r="W38" s="17">
        <v>470</v>
      </c>
      <c r="X38" s="17">
        <v>2062</v>
      </c>
      <c r="Y38" s="17">
        <v>205</v>
      </c>
      <c r="Z38" s="17">
        <v>1622</v>
      </c>
      <c r="AA38" s="17">
        <v>2222</v>
      </c>
      <c r="AB38" s="17">
        <v>255</v>
      </c>
      <c r="AC38" s="17">
        <v>342</v>
      </c>
      <c r="AD38" s="17">
        <v>215</v>
      </c>
      <c r="AE38" s="17">
        <v>160</v>
      </c>
      <c r="AF38" s="17">
        <v>50</v>
      </c>
      <c r="AG38" s="18">
        <v>0.17729158807996984</v>
      </c>
      <c r="AH38" s="18">
        <v>7.2007200720072009E-2</v>
      </c>
      <c r="AI38" s="18">
        <v>0.83817427385892118</v>
      </c>
      <c r="AJ38" s="19">
        <v>0.18</v>
      </c>
      <c r="AK38" s="18">
        <v>0.77781969068276124</v>
      </c>
      <c r="AL38" s="18">
        <v>0.12900792153904186</v>
      </c>
      <c r="AM38" s="19">
        <v>5.7777777777777775E-2</v>
      </c>
      <c r="AN38" s="19">
        <v>0</v>
      </c>
      <c r="AO38" s="19">
        <v>0.11222222222222222</v>
      </c>
      <c r="AP38" s="19">
        <v>0.01</v>
      </c>
      <c r="AQ38" s="20">
        <v>6.6638900458142442E-2</v>
      </c>
      <c r="AR38" s="20">
        <v>0.68302346845473938</v>
      </c>
      <c r="AS38" s="20">
        <v>0.73178908869247183</v>
      </c>
      <c r="AT38" s="20">
        <v>0.2416946053032612</v>
      </c>
      <c r="AU38" s="21" t="s">
        <v>243</v>
      </c>
      <c r="AV38" s="21" t="s">
        <v>107</v>
      </c>
    </row>
    <row r="39" spans="1:48" x14ac:dyDescent="0.35">
      <c r="A39" t="s">
        <v>153</v>
      </c>
      <c r="B39" t="s">
        <v>105</v>
      </c>
      <c r="C39" t="s">
        <v>152</v>
      </c>
      <c r="D39" s="17">
        <v>1066</v>
      </c>
      <c r="E39" s="17">
        <v>167</v>
      </c>
      <c r="F39" s="17">
        <v>899</v>
      </c>
      <c r="G39" s="17">
        <v>6</v>
      </c>
      <c r="H39" s="17">
        <v>1181</v>
      </c>
      <c r="I39" s="17">
        <v>12</v>
      </c>
      <c r="J39" s="17">
        <v>103</v>
      </c>
      <c r="K39" s="17">
        <v>53</v>
      </c>
      <c r="L39" s="17">
        <v>5</v>
      </c>
      <c r="M39" s="17">
        <v>53</v>
      </c>
      <c r="N39" s="17">
        <v>31</v>
      </c>
      <c r="O39" s="17">
        <v>924</v>
      </c>
      <c r="P39" s="17">
        <v>178</v>
      </c>
      <c r="Q39" s="17">
        <v>0</v>
      </c>
      <c r="R39" s="17">
        <v>0</v>
      </c>
      <c r="S39" s="17">
        <v>0</v>
      </c>
      <c r="T39" s="17">
        <v>0</v>
      </c>
      <c r="U39" s="17">
        <v>0</v>
      </c>
      <c r="V39" s="17">
        <v>902</v>
      </c>
      <c r="W39" s="17">
        <v>107</v>
      </c>
      <c r="X39" s="17">
        <v>848</v>
      </c>
      <c r="Y39" s="17">
        <v>101</v>
      </c>
      <c r="Z39" s="17">
        <v>257</v>
      </c>
      <c r="AA39" s="17">
        <v>854</v>
      </c>
      <c r="AB39" s="17">
        <v>101</v>
      </c>
      <c r="AC39" s="17">
        <v>48</v>
      </c>
      <c r="AD39" s="17">
        <v>6</v>
      </c>
      <c r="AE39" s="17">
        <v>6</v>
      </c>
      <c r="AF39" s="17">
        <v>0</v>
      </c>
      <c r="AG39" s="18">
        <v>0.11862527716186252</v>
      </c>
      <c r="AH39" s="18">
        <v>7.0257611241217799E-3</v>
      </c>
      <c r="AI39" s="18">
        <v>0.94678492239467849</v>
      </c>
      <c r="AJ39" s="19">
        <v>0</v>
      </c>
      <c r="AK39" s="18">
        <v>0.94013303769401335</v>
      </c>
      <c r="AL39" s="18">
        <v>5.3215077605321508E-2</v>
      </c>
      <c r="AM39" s="19">
        <v>0</v>
      </c>
      <c r="AN39" s="19">
        <v>0</v>
      </c>
      <c r="AO39" s="19">
        <v>0</v>
      </c>
      <c r="AP39" s="19">
        <v>0</v>
      </c>
      <c r="AQ39" s="20">
        <v>6.6740823136818691E-3</v>
      </c>
      <c r="AR39" s="20">
        <v>0.83771106941838647</v>
      </c>
      <c r="AS39" s="20">
        <v>0.84333958724202629</v>
      </c>
      <c r="AT39" s="20">
        <v>0.15666041275797374</v>
      </c>
      <c r="AU39" s="21" t="s">
        <v>244</v>
      </c>
      <c r="AV39" s="21" t="s">
        <v>107</v>
      </c>
    </row>
    <row r="40" spans="1:48" x14ac:dyDescent="0.35">
      <c r="A40" t="s">
        <v>154</v>
      </c>
      <c r="B40" t="s">
        <v>105</v>
      </c>
      <c r="C40" t="s">
        <v>152</v>
      </c>
      <c r="D40" s="17">
        <v>3147</v>
      </c>
      <c r="E40" s="17">
        <v>636</v>
      </c>
      <c r="F40" s="17">
        <v>2317</v>
      </c>
      <c r="G40" s="17">
        <v>127</v>
      </c>
      <c r="H40" s="17">
        <v>3165</v>
      </c>
      <c r="I40" s="17">
        <v>239</v>
      </c>
      <c r="J40" s="17">
        <v>152</v>
      </c>
      <c r="K40" s="17">
        <v>24</v>
      </c>
      <c r="L40" s="17">
        <v>144</v>
      </c>
      <c r="M40" s="17">
        <v>67</v>
      </c>
      <c r="N40" s="17">
        <v>21</v>
      </c>
      <c r="O40" s="17">
        <v>2518</v>
      </c>
      <c r="P40" s="17">
        <v>612</v>
      </c>
      <c r="Q40" s="17">
        <v>7</v>
      </c>
      <c r="R40" s="17">
        <v>0</v>
      </c>
      <c r="S40" s="17">
        <v>0</v>
      </c>
      <c r="T40" s="17">
        <v>7</v>
      </c>
      <c r="U40" s="17">
        <v>0</v>
      </c>
      <c r="V40" s="17">
        <v>2387</v>
      </c>
      <c r="W40" s="17">
        <v>295</v>
      </c>
      <c r="X40" s="17">
        <v>1954</v>
      </c>
      <c r="Y40" s="17">
        <v>154</v>
      </c>
      <c r="Z40" s="17">
        <v>647</v>
      </c>
      <c r="AA40" s="17">
        <v>2081</v>
      </c>
      <c r="AB40" s="17">
        <v>208</v>
      </c>
      <c r="AC40" s="17">
        <v>293</v>
      </c>
      <c r="AD40" s="17">
        <v>87</v>
      </c>
      <c r="AE40" s="17">
        <v>127</v>
      </c>
      <c r="AF40" s="17">
        <v>54</v>
      </c>
      <c r="AG40" s="18">
        <v>0.12358609132802681</v>
      </c>
      <c r="AH40" s="18">
        <v>6.1028351753964441E-2</v>
      </c>
      <c r="AI40" s="18">
        <v>0.87180561374109766</v>
      </c>
      <c r="AJ40" s="19">
        <v>1.1437908496732025E-2</v>
      </c>
      <c r="AK40" s="18">
        <v>0.81860075408462507</v>
      </c>
      <c r="AL40" s="18">
        <v>0.12274821952241308</v>
      </c>
      <c r="AM40" s="19">
        <v>0</v>
      </c>
      <c r="AN40" s="19">
        <v>0</v>
      </c>
      <c r="AO40" s="19">
        <v>1.1437908496732025E-2</v>
      </c>
      <c r="AP40" s="19">
        <v>0</v>
      </c>
      <c r="AQ40" s="20">
        <v>5.4812257229175661E-2</v>
      </c>
      <c r="AR40" s="20">
        <v>0.69590085795996182</v>
      </c>
      <c r="AS40" s="20">
        <v>0.73625675246266287</v>
      </c>
      <c r="AT40" s="20">
        <v>0.20209723546234509</v>
      </c>
      <c r="AU40" s="21" t="s">
        <v>245</v>
      </c>
      <c r="AV40" s="21" t="s">
        <v>107</v>
      </c>
    </row>
    <row r="41" spans="1:48" x14ac:dyDescent="0.35">
      <c r="A41" t="s">
        <v>155</v>
      </c>
      <c r="B41" t="s">
        <v>105</v>
      </c>
      <c r="C41" t="s">
        <v>152</v>
      </c>
      <c r="D41" s="17">
        <v>12998</v>
      </c>
      <c r="E41" s="17">
        <v>5002</v>
      </c>
      <c r="F41" s="17">
        <v>7979</v>
      </c>
      <c r="G41" s="17">
        <v>361</v>
      </c>
      <c r="H41" s="17">
        <v>15597</v>
      </c>
      <c r="I41" s="17">
        <v>1118</v>
      </c>
      <c r="J41" s="17">
        <v>2041</v>
      </c>
      <c r="K41" s="17">
        <v>1026</v>
      </c>
      <c r="L41" s="17">
        <v>506</v>
      </c>
      <c r="M41" s="17">
        <v>1065</v>
      </c>
      <c r="N41" s="17">
        <v>202</v>
      </c>
      <c r="O41" s="17">
        <v>9639</v>
      </c>
      <c r="P41" s="17">
        <v>3290</v>
      </c>
      <c r="Q41" s="17">
        <v>472</v>
      </c>
      <c r="R41" s="17">
        <v>171</v>
      </c>
      <c r="S41" s="17">
        <v>133</v>
      </c>
      <c r="T41" s="17">
        <v>126</v>
      </c>
      <c r="U41" s="17">
        <v>42</v>
      </c>
      <c r="V41" s="17">
        <v>9459</v>
      </c>
      <c r="W41" s="17">
        <v>1482</v>
      </c>
      <c r="X41" s="17">
        <v>6967</v>
      </c>
      <c r="Y41" s="17">
        <v>362</v>
      </c>
      <c r="Z41" s="17">
        <v>5958</v>
      </c>
      <c r="AA41" s="17">
        <v>7238</v>
      </c>
      <c r="AB41" s="17">
        <v>460</v>
      </c>
      <c r="AC41" s="17">
        <v>2204</v>
      </c>
      <c r="AD41" s="17">
        <v>1022</v>
      </c>
      <c r="AE41" s="17">
        <v>271</v>
      </c>
      <c r="AF41" s="17">
        <v>98</v>
      </c>
      <c r="AG41" s="18">
        <v>0.15667618141452586</v>
      </c>
      <c r="AH41" s="18">
        <v>3.7441282122133185E-2</v>
      </c>
      <c r="AI41" s="18">
        <v>0.76519716671952642</v>
      </c>
      <c r="AJ41" s="19">
        <v>0.14346504559270518</v>
      </c>
      <c r="AK41" s="18">
        <v>0.73654720372132365</v>
      </c>
      <c r="AL41" s="18">
        <v>0.23300560312929486</v>
      </c>
      <c r="AM41" s="19">
        <v>5.1975683890577509E-2</v>
      </c>
      <c r="AN41" s="19">
        <v>4.042553191489362E-2</v>
      </c>
      <c r="AO41" s="19">
        <v>3.8297872340425532E-2</v>
      </c>
      <c r="AP41" s="19">
        <v>1.276595744680851E-2</v>
      </c>
      <c r="AQ41" s="20">
        <v>4.5243764882817394E-2</v>
      </c>
      <c r="AR41" s="20">
        <v>0.58609016771811051</v>
      </c>
      <c r="AS41" s="20">
        <v>0.6138636713340514</v>
      </c>
      <c r="AT41" s="20">
        <v>0.38482843514386827</v>
      </c>
      <c r="AU41" s="21" t="s">
        <v>246</v>
      </c>
      <c r="AV41" s="21" t="s">
        <v>107</v>
      </c>
    </row>
    <row r="42" spans="1:48" x14ac:dyDescent="0.35">
      <c r="A42" t="s">
        <v>156</v>
      </c>
      <c r="B42" t="s">
        <v>105</v>
      </c>
      <c r="C42" t="s">
        <v>152</v>
      </c>
      <c r="D42" s="17">
        <v>7651</v>
      </c>
      <c r="E42" s="17">
        <v>2567</v>
      </c>
      <c r="F42" s="17">
        <v>5084</v>
      </c>
      <c r="G42" s="17">
        <v>90</v>
      </c>
      <c r="H42" s="17">
        <v>9301</v>
      </c>
      <c r="I42" s="17">
        <v>395</v>
      </c>
      <c r="J42" s="17">
        <v>586</v>
      </c>
      <c r="K42" s="17">
        <v>303</v>
      </c>
      <c r="L42" s="17">
        <v>117</v>
      </c>
      <c r="M42" s="17">
        <v>429</v>
      </c>
      <c r="N42" s="17">
        <v>43</v>
      </c>
      <c r="O42" s="17">
        <v>7428</v>
      </c>
      <c r="P42" s="17">
        <v>2195</v>
      </c>
      <c r="Q42" s="17">
        <v>219</v>
      </c>
      <c r="R42" s="17">
        <v>73</v>
      </c>
      <c r="S42" s="17">
        <v>112</v>
      </c>
      <c r="T42" s="17">
        <v>34</v>
      </c>
      <c r="U42" s="17">
        <v>0</v>
      </c>
      <c r="V42" s="17">
        <v>5605</v>
      </c>
      <c r="W42" s="17">
        <v>459</v>
      </c>
      <c r="X42" s="17">
        <v>4552</v>
      </c>
      <c r="Y42" s="17">
        <v>249</v>
      </c>
      <c r="Z42" s="17">
        <v>1873</v>
      </c>
      <c r="AA42" s="17">
        <v>4635</v>
      </c>
      <c r="AB42" s="17">
        <v>268</v>
      </c>
      <c r="AC42" s="17">
        <v>970</v>
      </c>
      <c r="AD42" s="17">
        <v>191</v>
      </c>
      <c r="AE42" s="17">
        <v>83</v>
      </c>
      <c r="AF42" s="17">
        <v>19</v>
      </c>
      <c r="AG42" s="18">
        <v>8.189116859946477E-2</v>
      </c>
      <c r="AH42" s="18">
        <v>1.7907227615965481E-2</v>
      </c>
      <c r="AI42" s="18">
        <v>0.8269402319357716</v>
      </c>
      <c r="AJ42" s="19">
        <v>9.9772209567198178E-2</v>
      </c>
      <c r="AK42" s="18">
        <v>0.81213202497769843</v>
      </c>
      <c r="AL42" s="18">
        <v>0.17305976806422838</v>
      </c>
      <c r="AM42" s="19">
        <v>3.3257403189066059E-2</v>
      </c>
      <c r="AN42" s="19">
        <v>5.1025056947608199E-2</v>
      </c>
      <c r="AO42" s="19">
        <v>1.5489749430523917E-2</v>
      </c>
      <c r="AP42" s="19">
        <v>0</v>
      </c>
      <c r="AQ42" s="20">
        <v>1.7702596380802519E-2</v>
      </c>
      <c r="AR42" s="20">
        <v>0.65272513396941578</v>
      </c>
      <c r="AS42" s="20">
        <v>0.66448830218272126</v>
      </c>
      <c r="AT42" s="20">
        <v>0.3355116978172788</v>
      </c>
      <c r="AU42" s="21" t="s">
        <v>247</v>
      </c>
      <c r="AV42" s="21" t="s">
        <v>107</v>
      </c>
    </row>
    <row r="43" spans="1:48" x14ac:dyDescent="0.35">
      <c r="A43" t="s">
        <v>157</v>
      </c>
      <c r="B43" t="s">
        <v>105</v>
      </c>
      <c r="C43" t="s">
        <v>152</v>
      </c>
      <c r="D43" s="17">
        <v>13743</v>
      </c>
      <c r="E43" s="17">
        <v>3562</v>
      </c>
      <c r="F43" s="17">
        <v>10167</v>
      </c>
      <c r="G43" s="17">
        <v>305</v>
      </c>
      <c r="H43" s="17">
        <v>15184</v>
      </c>
      <c r="I43" s="17">
        <v>756</v>
      </c>
      <c r="J43" s="17">
        <v>992</v>
      </c>
      <c r="K43" s="17">
        <v>603</v>
      </c>
      <c r="L43" s="17">
        <v>313</v>
      </c>
      <c r="M43" s="17">
        <v>422</v>
      </c>
      <c r="N43" s="17">
        <v>213</v>
      </c>
      <c r="O43" s="17">
        <v>11885</v>
      </c>
      <c r="P43" s="17">
        <v>3550</v>
      </c>
      <c r="Q43" s="17">
        <v>311</v>
      </c>
      <c r="R43" s="17">
        <v>58</v>
      </c>
      <c r="S43" s="17">
        <v>107</v>
      </c>
      <c r="T43" s="17">
        <v>98</v>
      </c>
      <c r="U43" s="17">
        <v>48</v>
      </c>
      <c r="V43" s="17">
        <v>10785</v>
      </c>
      <c r="W43" s="17">
        <v>1050</v>
      </c>
      <c r="X43" s="17">
        <v>9045</v>
      </c>
      <c r="Y43" s="17">
        <v>481</v>
      </c>
      <c r="Z43" s="17">
        <v>3299</v>
      </c>
      <c r="AA43" s="17">
        <v>9312</v>
      </c>
      <c r="AB43" s="17">
        <v>645</v>
      </c>
      <c r="AC43" s="17">
        <v>1459</v>
      </c>
      <c r="AD43" s="17">
        <v>405</v>
      </c>
      <c r="AE43" s="17">
        <v>267</v>
      </c>
      <c r="AF43" s="17">
        <v>164</v>
      </c>
      <c r="AG43" s="18">
        <v>9.7357440890125171E-2</v>
      </c>
      <c r="AH43" s="18">
        <v>2.8672680412371133E-2</v>
      </c>
      <c r="AI43" s="18">
        <v>0.86342141863699584</v>
      </c>
      <c r="AJ43" s="19">
        <v>8.7605633802816898E-2</v>
      </c>
      <c r="AK43" s="18">
        <v>0.83866481223922118</v>
      </c>
      <c r="AL43" s="18">
        <v>0.13528048215113583</v>
      </c>
      <c r="AM43" s="19">
        <v>1.6338028169014085E-2</v>
      </c>
      <c r="AN43" s="19">
        <v>3.0140845070422535E-2</v>
      </c>
      <c r="AO43" s="19">
        <v>2.7605633802816901E-2</v>
      </c>
      <c r="AP43" s="19">
        <v>1.3521126760563381E-2</v>
      </c>
      <c r="AQ43" s="20">
        <v>2.9999016425690962E-2</v>
      </c>
      <c r="AR43" s="20">
        <v>0.71760168813213998</v>
      </c>
      <c r="AS43" s="20">
        <v>0.73979480462781055</v>
      </c>
      <c r="AT43" s="20">
        <v>0.25918649494287999</v>
      </c>
      <c r="AU43" s="21" t="s">
        <v>248</v>
      </c>
      <c r="AV43" s="21" t="s">
        <v>107</v>
      </c>
    </row>
    <row r="44" spans="1:48" x14ac:dyDescent="0.35">
      <c r="A44" t="s">
        <v>158</v>
      </c>
      <c r="B44" t="s">
        <v>105</v>
      </c>
      <c r="C44" t="s">
        <v>159</v>
      </c>
      <c r="D44" s="17">
        <v>12990</v>
      </c>
      <c r="E44" s="17">
        <v>3817</v>
      </c>
      <c r="F44" s="17">
        <v>9139</v>
      </c>
      <c r="G44" s="17">
        <v>401</v>
      </c>
      <c r="H44" s="17">
        <v>15864</v>
      </c>
      <c r="I44" s="17">
        <v>1139</v>
      </c>
      <c r="J44" s="17">
        <v>1140</v>
      </c>
      <c r="K44" s="17">
        <v>829</v>
      </c>
      <c r="L44" s="17">
        <v>416</v>
      </c>
      <c r="M44" s="17">
        <v>708</v>
      </c>
      <c r="N44" s="17">
        <v>113</v>
      </c>
      <c r="O44" s="17">
        <v>11519</v>
      </c>
      <c r="P44" s="17">
        <v>3845</v>
      </c>
      <c r="Q44" s="17">
        <v>388</v>
      </c>
      <c r="R44" s="17">
        <v>47</v>
      </c>
      <c r="S44" s="17">
        <v>27</v>
      </c>
      <c r="T44" s="17">
        <v>230</v>
      </c>
      <c r="U44" s="17">
        <v>84</v>
      </c>
      <c r="V44" s="17">
        <v>10249</v>
      </c>
      <c r="W44" s="17">
        <v>1223</v>
      </c>
      <c r="X44" s="17">
        <v>7998</v>
      </c>
      <c r="Y44" s="17">
        <v>641</v>
      </c>
      <c r="Z44" s="17">
        <v>4345</v>
      </c>
      <c r="AA44" s="17">
        <v>8387</v>
      </c>
      <c r="AB44" s="17">
        <v>826</v>
      </c>
      <c r="AC44" s="17">
        <v>1828</v>
      </c>
      <c r="AD44" s="17">
        <v>374</v>
      </c>
      <c r="AE44" s="17">
        <v>389</v>
      </c>
      <c r="AF44" s="17">
        <v>185</v>
      </c>
      <c r="AG44" s="18">
        <v>0.11932871499658504</v>
      </c>
      <c r="AH44" s="18">
        <v>4.6381304399666153E-2</v>
      </c>
      <c r="AI44" s="18">
        <v>0.81832373890135623</v>
      </c>
      <c r="AJ44" s="19">
        <v>0.10091027308192457</v>
      </c>
      <c r="AK44" s="18">
        <v>0.78036881646989953</v>
      </c>
      <c r="AL44" s="18">
        <v>0.17835886427944189</v>
      </c>
      <c r="AM44" s="19">
        <v>1.2223667100130039E-2</v>
      </c>
      <c r="AN44" s="19">
        <v>7.0221066319895971E-3</v>
      </c>
      <c r="AO44" s="19">
        <v>5.9817945383615082E-2</v>
      </c>
      <c r="AP44" s="19">
        <v>2.1846553966189858E-2</v>
      </c>
      <c r="AQ44" s="20">
        <v>4.3877885983149144E-2</v>
      </c>
      <c r="AR44" s="20">
        <v>0.672671285604311</v>
      </c>
      <c r="AS44" s="20">
        <v>0.70354118552732869</v>
      </c>
      <c r="AT44" s="20">
        <v>0.29384141647421091</v>
      </c>
      <c r="AU44" s="21" t="s">
        <v>249</v>
      </c>
      <c r="AV44" s="21" t="s">
        <v>107</v>
      </c>
    </row>
    <row r="45" spans="1:48" x14ac:dyDescent="0.35">
      <c r="A45" t="s">
        <v>160</v>
      </c>
      <c r="B45" t="s">
        <v>105</v>
      </c>
      <c r="C45" t="s">
        <v>159</v>
      </c>
      <c r="D45" s="17">
        <v>17537</v>
      </c>
      <c r="E45" s="17">
        <v>4634</v>
      </c>
      <c r="F45" s="17">
        <v>12903</v>
      </c>
      <c r="G45" s="17">
        <v>244</v>
      </c>
      <c r="H45" s="17">
        <v>21059</v>
      </c>
      <c r="I45" s="17">
        <v>1311</v>
      </c>
      <c r="J45" s="17">
        <v>1376</v>
      </c>
      <c r="K45" s="17">
        <v>429</v>
      </c>
      <c r="L45" s="17">
        <v>400</v>
      </c>
      <c r="M45" s="17">
        <v>410</v>
      </c>
      <c r="N45" s="17">
        <v>333</v>
      </c>
      <c r="O45" s="17">
        <v>16800</v>
      </c>
      <c r="P45" s="17">
        <v>4750</v>
      </c>
      <c r="Q45" s="17">
        <v>343</v>
      </c>
      <c r="R45" s="17">
        <v>47</v>
      </c>
      <c r="S45" s="17">
        <v>44</v>
      </c>
      <c r="T45" s="17">
        <v>181</v>
      </c>
      <c r="U45" s="17">
        <v>71</v>
      </c>
      <c r="V45" s="17">
        <v>14288</v>
      </c>
      <c r="W45" s="17">
        <v>1166</v>
      </c>
      <c r="X45" s="17">
        <v>11916</v>
      </c>
      <c r="Y45" s="17">
        <v>468</v>
      </c>
      <c r="Z45" s="17">
        <v>4259</v>
      </c>
      <c r="AA45" s="17">
        <v>12127</v>
      </c>
      <c r="AB45" s="17">
        <v>507</v>
      </c>
      <c r="AC45" s="17">
        <v>2161</v>
      </c>
      <c r="AD45" s="17">
        <v>659</v>
      </c>
      <c r="AE45" s="17">
        <v>211</v>
      </c>
      <c r="AF45" s="17">
        <v>39</v>
      </c>
      <c r="AG45" s="18">
        <v>8.1606942889137737E-2</v>
      </c>
      <c r="AH45" s="18">
        <v>1.7399191885874497E-2</v>
      </c>
      <c r="AI45" s="18">
        <v>0.84875419932810747</v>
      </c>
      <c r="AJ45" s="19">
        <v>7.2210526315789475E-2</v>
      </c>
      <c r="AK45" s="18">
        <v>0.83398656215005595</v>
      </c>
      <c r="AL45" s="18">
        <v>0.1512458006718925</v>
      </c>
      <c r="AM45" s="19">
        <v>9.8947368421052635E-3</v>
      </c>
      <c r="AN45" s="19">
        <v>9.2631578947368429E-3</v>
      </c>
      <c r="AO45" s="19">
        <v>3.8105263157894739E-2</v>
      </c>
      <c r="AP45" s="19">
        <v>1.4947368421052631E-2</v>
      </c>
      <c r="AQ45" s="20">
        <v>1.8910330930791287E-2</v>
      </c>
      <c r="AR45" s="20">
        <v>0.72184524148942242</v>
      </c>
      <c r="AS45" s="20">
        <v>0.73575868164452296</v>
      </c>
      <c r="AT45" s="20">
        <v>0.26424131835547698</v>
      </c>
      <c r="AU45" s="21" t="s">
        <v>250</v>
      </c>
      <c r="AV45" s="21" t="s">
        <v>107</v>
      </c>
    </row>
    <row r="46" spans="1:48" x14ac:dyDescent="0.35">
      <c r="A46" t="s">
        <v>161</v>
      </c>
      <c r="B46" t="s">
        <v>105</v>
      </c>
      <c r="C46" t="s">
        <v>159</v>
      </c>
      <c r="D46" s="17">
        <v>8578</v>
      </c>
      <c r="E46" s="17">
        <v>2721</v>
      </c>
      <c r="F46" s="17">
        <v>5857</v>
      </c>
      <c r="G46" s="17">
        <v>153</v>
      </c>
      <c r="H46" s="17">
        <v>10896</v>
      </c>
      <c r="I46" s="17">
        <v>369</v>
      </c>
      <c r="J46" s="17">
        <v>79</v>
      </c>
      <c r="K46" s="17">
        <v>150</v>
      </c>
      <c r="L46" s="17">
        <v>438</v>
      </c>
      <c r="M46" s="17">
        <v>51</v>
      </c>
      <c r="N46" s="17">
        <v>497</v>
      </c>
      <c r="O46" s="17">
        <v>9312</v>
      </c>
      <c r="P46" s="17">
        <v>2785</v>
      </c>
      <c r="Q46" s="17">
        <v>74</v>
      </c>
      <c r="R46" s="17">
        <v>48</v>
      </c>
      <c r="S46" s="17">
        <v>26</v>
      </c>
      <c r="T46" s="17">
        <v>0</v>
      </c>
      <c r="U46" s="17">
        <v>0</v>
      </c>
      <c r="V46" s="17">
        <v>6346</v>
      </c>
      <c r="W46" s="17">
        <v>252</v>
      </c>
      <c r="X46" s="17">
        <v>5250</v>
      </c>
      <c r="Y46" s="17">
        <v>59</v>
      </c>
      <c r="Z46" s="17">
        <v>1584</v>
      </c>
      <c r="AA46" s="17">
        <v>5394</v>
      </c>
      <c r="AB46" s="17">
        <v>71</v>
      </c>
      <c r="AC46" s="17">
        <v>952</v>
      </c>
      <c r="AD46" s="17">
        <v>181</v>
      </c>
      <c r="AE46" s="17">
        <v>144</v>
      </c>
      <c r="AF46" s="17">
        <v>12</v>
      </c>
      <c r="AG46" s="18">
        <v>3.9710053577056412E-2</v>
      </c>
      <c r="AH46" s="18">
        <v>2.6696329254727477E-2</v>
      </c>
      <c r="AI46" s="18">
        <v>0.84998424204223133</v>
      </c>
      <c r="AJ46" s="19">
        <v>2.6570915619389589E-2</v>
      </c>
      <c r="AK46" s="18">
        <v>0.82729278285534191</v>
      </c>
      <c r="AL46" s="18">
        <v>0.15001575795776867</v>
      </c>
      <c r="AM46" s="19">
        <v>1.7235188509874325E-2</v>
      </c>
      <c r="AN46" s="19">
        <v>9.33572710951526E-3</v>
      </c>
      <c r="AO46" s="19">
        <v>0</v>
      </c>
      <c r="AP46" s="19">
        <v>0</v>
      </c>
      <c r="AQ46" s="20">
        <v>2.6122588355813558E-2</v>
      </c>
      <c r="AR46" s="20">
        <v>0.6649568664024248</v>
      </c>
      <c r="AS46" s="20">
        <v>0.68279319188622056</v>
      </c>
      <c r="AT46" s="20">
        <v>0.31720680811377944</v>
      </c>
      <c r="AU46" s="21" t="s">
        <v>251</v>
      </c>
      <c r="AV46" s="21" t="s">
        <v>107</v>
      </c>
    </row>
    <row r="47" spans="1:48" x14ac:dyDescent="0.35">
      <c r="A47" t="s">
        <v>162</v>
      </c>
      <c r="B47" t="s">
        <v>105</v>
      </c>
      <c r="C47" t="s">
        <v>159</v>
      </c>
      <c r="D47" s="17">
        <v>5939</v>
      </c>
      <c r="E47" s="17">
        <v>1552</v>
      </c>
      <c r="F47" s="17">
        <v>4387</v>
      </c>
      <c r="G47" s="17">
        <v>128</v>
      </c>
      <c r="H47" s="17">
        <v>7179</v>
      </c>
      <c r="I47" s="17">
        <v>284</v>
      </c>
      <c r="J47" s="17">
        <v>441</v>
      </c>
      <c r="K47" s="17">
        <v>164</v>
      </c>
      <c r="L47" s="17">
        <v>118</v>
      </c>
      <c r="M47" s="17">
        <v>201</v>
      </c>
      <c r="N47" s="17">
        <v>68</v>
      </c>
      <c r="O47" s="17">
        <v>5903</v>
      </c>
      <c r="P47" s="17">
        <v>1883</v>
      </c>
      <c r="Q47" s="17">
        <v>194</v>
      </c>
      <c r="R47" s="17">
        <v>0</v>
      </c>
      <c r="S47" s="17">
        <v>30</v>
      </c>
      <c r="T47" s="17">
        <v>53</v>
      </c>
      <c r="U47" s="17">
        <v>111</v>
      </c>
      <c r="V47" s="17">
        <v>4563</v>
      </c>
      <c r="W47" s="17">
        <v>460</v>
      </c>
      <c r="X47" s="17">
        <v>3842</v>
      </c>
      <c r="Y47" s="17">
        <v>272</v>
      </c>
      <c r="Z47" s="17">
        <v>1276</v>
      </c>
      <c r="AA47" s="17">
        <v>3970</v>
      </c>
      <c r="AB47" s="17">
        <v>281</v>
      </c>
      <c r="AC47" s="17">
        <v>593</v>
      </c>
      <c r="AD47" s="17">
        <v>179</v>
      </c>
      <c r="AE47" s="17">
        <v>128</v>
      </c>
      <c r="AF47" s="17">
        <v>9</v>
      </c>
      <c r="AG47" s="18">
        <v>0.10081087004163927</v>
      </c>
      <c r="AH47" s="18">
        <v>3.2241813602015112E-2</v>
      </c>
      <c r="AI47" s="18">
        <v>0.87004163927240852</v>
      </c>
      <c r="AJ47" s="19">
        <v>0.10302708443972385</v>
      </c>
      <c r="AK47" s="18">
        <v>0.84198991891299579</v>
      </c>
      <c r="AL47" s="18">
        <v>0.12995836072759151</v>
      </c>
      <c r="AM47" s="19">
        <v>0</v>
      </c>
      <c r="AN47" s="19">
        <v>1.5932023366967606E-2</v>
      </c>
      <c r="AO47" s="19">
        <v>2.8146574614976102E-2</v>
      </c>
      <c r="AP47" s="19">
        <v>5.8948486457780142E-2</v>
      </c>
      <c r="AQ47" s="20">
        <v>2.9177114201048553E-2</v>
      </c>
      <c r="AR47" s="20">
        <v>0.71712409496548235</v>
      </c>
      <c r="AS47" s="20">
        <v>0.73867654487287426</v>
      </c>
      <c r="AT47" s="20">
        <v>0.26132345512712579</v>
      </c>
      <c r="AU47" s="21" t="s">
        <v>252</v>
      </c>
      <c r="AV47" s="21" t="s">
        <v>107</v>
      </c>
    </row>
    <row r="48" spans="1:48" x14ac:dyDescent="0.35">
      <c r="A48" t="s">
        <v>163</v>
      </c>
      <c r="B48" t="s">
        <v>105</v>
      </c>
      <c r="C48" t="s">
        <v>164</v>
      </c>
      <c r="D48" s="17">
        <v>10072</v>
      </c>
      <c r="E48" s="17">
        <v>3485</v>
      </c>
      <c r="F48" s="17">
        <v>6510</v>
      </c>
      <c r="G48" s="17">
        <v>236</v>
      </c>
      <c r="H48" s="17">
        <v>11733</v>
      </c>
      <c r="I48" s="17">
        <v>803</v>
      </c>
      <c r="J48" s="17">
        <v>247</v>
      </c>
      <c r="K48" s="17">
        <v>137</v>
      </c>
      <c r="L48" s="17">
        <v>270</v>
      </c>
      <c r="M48" s="17">
        <v>411</v>
      </c>
      <c r="N48" s="17">
        <v>88</v>
      </c>
      <c r="O48" s="17">
        <v>9777</v>
      </c>
      <c r="P48" s="17">
        <v>3136</v>
      </c>
      <c r="Q48" s="17">
        <v>262</v>
      </c>
      <c r="R48" s="17">
        <v>17</v>
      </c>
      <c r="S48" s="17">
        <v>98</v>
      </c>
      <c r="T48" s="17">
        <v>147</v>
      </c>
      <c r="U48" s="17">
        <v>0</v>
      </c>
      <c r="V48" s="17">
        <v>7534</v>
      </c>
      <c r="W48" s="17">
        <v>501</v>
      </c>
      <c r="X48" s="17">
        <v>5718</v>
      </c>
      <c r="Y48" s="17">
        <v>174</v>
      </c>
      <c r="Z48" s="17">
        <v>1956</v>
      </c>
      <c r="AA48" s="17">
        <v>5914</v>
      </c>
      <c r="AB48" s="17">
        <v>191</v>
      </c>
      <c r="AC48" s="17">
        <v>1543</v>
      </c>
      <c r="AD48" s="17">
        <v>310</v>
      </c>
      <c r="AE48" s="17">
        <v>196</v>
      </c>
      <c r="AF48" s="17">
        <v>17</v>
      </c>
      <c r="AG48" s="18">
        <v>6.649853995221662E-2</v>
      </c>
      <c r="AH48" s="18">
        <v>3.3141697666553942E-2</v>
      </c>
      <c r="AI48" s="18">
        <v>0.78497478099283247</v>
      </c>
      <c r="AJ48" s="19">
        <v>8.3545918367346941E-2</v>
      </c>
      <c r="AK48" s="18">
        <v>0.75895938412529862</v>
      </c>
      <c r="AL48" s="18">
        <v>0.20480488452349349</v>
      </c>
      <c r="AM48" s="19">
        <v>5.4209183673469387E-3</v>
      </c>
      <c r="AN48" s="19">
        <v>3.125E-2</v>
      </c>
      <c r="AO48" s="19">
        <v>4.6875E-2</v>
      </c>
      <c r="AP48" s="19">
        <v>0</v>
      </c>
      <c r="AQ48" s="20">
        <v>3.6251920122887867E-2</v>
      </c>
      <c r="AR48" s="20">
        <v>0.62291501191421761</v>
      </c>
      <c r="AS48" s="20">
        <v>0.64634630659253378</v>
      </c>
      <c r="AT48" s="20">
        <v>0.3460087370929309</v>
      </c>
      <c r="AU48" s="21" t="s">
        <v>253</v>
      </c>
      <c r="AV48" s="21" t="s">
        <v>107</v>
      </c>
    </row>
    <row r="49" spans="1:48" x14ac:dyDescent="0.35">
      <c r="A49" t="s">
        <v>165</v>
      </c>
      <c r="B49" t="s">
        <v>105</v>
      </c>
      <c r="C49" t="s">
        <v>164</v>
      </c>
      <c r="D49" s="17">
        <v>3788</v>
      </c>
      <c r="E49" s="17">
        <v>1146</v>
      </c>
      <c r="F49" s="17">
        <v>2605</v>
      </c>
      <c r="G49" s="17">
        <v>194</v>
      </c>
      <c r="H49" s="17">
        <v>4222</v>
      </c>
      <c r="I49" s="17">
        <v>384</v>
      </c>
      <c r="J49" s="17">
        <v>434</v>
      </c>
      <c r="K49" s="17">
        <v>374</v>
      </c>
      <c r="L49" s="17">
        <v>267</v>
      </c>
      <c r="M49" s="17">
        <v>168</v>
      </c>
      <c r="N49" s="17">
        <v>111</v>
      </c>
      <c r="O49" s="17">
        <v>2484</v>
      </c>
      <c r="P49" s="17">
        <v>654</v>
      </c>
      <c r="Q49" s="17">
        <v>113</v>
      </c>
      <c r="R49" s="17">
        <v>0</v>
      </c>
      <c r="S49" s="17">
        <v>33</v>
      </c>
      <c r="T49" s="17">
        <v>80</v>
      </c>
      <c r="U49" s="17">
        <v>0</v>
      </c>
      <c r="V49" s="17">
        <v>2917</v>
      </c>
      <c r="W49" s="17">
        <v>329</v>
      </c>
      <c r="X49" s="17">
        <v>2312</v>
      </c>
      <c r="Y49" s="17">
        <v>114</v>
      </c>
      <c r="Z49" s="17">
        <v>1738</v>
      </c>
      <c r="AA49" s="17">
        <v>2506</v>
      </c>
      <c r="AB49" s="17">
        <v>208</v>
      </c>
      <c r="AC49" s="17">
        <v>374</v>
      </c>
      <c r="AD49" s="17">
        <v>121</v>
      </c>
      <c r="AE49" s="17">
        <v>194</v>
      </c>
      <c r="AF49" s="17">
        <v>94</v>
      </c>
      <c r="AG49" s="18">
        <v>0.11278711004456633</v>
      </c>
      <c r="AH49" s="18">
        <v>7.7414205905826011E-2</v>
      </c>
      <c r="AI49" s="18">
        <v>0.85910181693520737</v>
      </c>
      <c r="AJ49" s="19">
        <v>0.172782874617737</v>
      </c>
      <c r="AK49" s="18">
        <v>0.79259513198491605</v>
      </c>
      <c r="AL49" s="18">
        <v>0.12821391840932464</v>
      </c>
      <c r="AM49" s="19">
        <v>0</v>
      </c>
      <c r="AN49" s="19">
        <v>5.0458715596330278E-2</v>
      </c>
      <c r="AO49" s="19">
        <v>0.12232415902140673</v>
      </c>
      <c r="AP49" s="19">
        <v>0</v>
      </c>
      <c r="AQ49" s="20">
        <v>7.4472168905950098E-2</v>
      </c>
      <c r="AR49" s="20">
        <v>0.63648363252375928</v>
      </c>
      <c r="AS49" s="20">
        <v>0.6876979936642027</v>
      </c>
      <c r="AT49" s="20">
        <v>0.30253431890179516</v>
      </c>
      <c r="AU49" s="21" t="s">
        <v>254</v>
      </c>
      <c r="AV49" s="21" t="s">
        <v>107</v>
      </c>
    </row>
    <row r="50" spans="1:48" x14ac:dyDescent="0.35">
      <c r="A50" t="s">
        <v>166</v>
      </c>
      <c r="B50" t="s">
        <v>105</v>
      </c>
      <c r="C50" t="s">
        <v>164</v>
      </c>
      <c r="D50" s="17">
        <v>19601</v>
      </c>
      <c r="E50" s="17">
        <v>4361</v>
      </c>
      <c r="F50" s="17">
        <v>15193</v>
      </c>
      <c r="G50" s="17">
        <v>737</v>
      </c>
      <c r="H50" s="17">
        <v>21480</v>
      </c>
      <c r="I50" s="17">
        <v>1561</v>
      </c>
      <c r="J50" s="17">
        <v>1071</v>
      </c>
      <c r="K50" s="17">
        <v>564</v>
      </c>
      <c r="L50" s="17">
        <v>317</v>
      </c>
      <c r="M50" s="17">
        <v>841</v>
      </c>
      <c r="N50" s="17">
        <v>194</v>
      </c>
      <c r="O50" s="17">
        <v>16932</v>
      </c>
      <c r="P50" s="17">
        <v>3494</v>
      </c>
      <c r="Q50" s="17">
        <v>145</v>
      </c>
      <c r="R50" s="17">
        <v>0</v>
      </c>
      <c r="S50" s="17">
        <v>21</v>
      </c>
      <c r="T50" s="17">
        <v>92</v>
      </c>
      <c r="U50" s="17">
        <v>32</v>
      </c>
      <c r="V50" s="17">
        <v>16917</v>
      </c>
      <c r="W50" s="17">
        <v>1739</v>
      </c>
      <c r="X50" s="17">
        <v>13996</v>
      </c>
      <c r="Y50" s="17">
        <v>603</v>
      </c>
      <c r="Z50" s="17">
        <v>4548</v>
      </c>
      <c r="AA50" s="17">
        <v>14590</v>
      </c>
      <c r="AB50" s="17">
        <v>732</v>
      </c>
      <c r="AC50" s="17">
        <v>2280</v>
      </c>
      <c r="AD50" s="17">
        <v>1007</v>
      </c>
      <c r="AE50" s="17">
        <v>594</v>
      </c>
      <c r="AF50" s="17">
        <v>129</v>
      </c>
      <c r="AG50" s="18">
        <v>0.10279600401962523</v>
      </c>
      <c r="AH50" s="18">
        <v>4.0712816997943796E-2</v>
      </c>
      <c r="AI50" s="18">
        <v>0.86244606017615422</v>
      </c>
      <c r="AJ50" s="19">
        <v>4.1499713795077275E-2</v>
      </c>
      <c r="AK50" s="18">
        <v>0.82733345155760474</v>
      </c>
      <c r="AL50" s="18">
        <v>0.13477566944493705</v>
      </c>
      <c r="AM50" s="19">
        <v>0</v>
      </c>
      <c r="AN50" s="19">
        <v>6.0103033772180882E-3</v>
      </c>
      <c r="AO50" s="19">
        <v>2.633085289066972E-2</v>
      </c>
      <c r="AP50" s="19">
        <v>9.1585575271894669E-3</v>
      </c>
      <c r="AQ50" s="20">
        <v>4.8509181860067134E-2</v>
      </c>
      <c r="AR50" s="20">
        <v>0.73751339217386869</v>
      </c>
      <c r="AS50" s="20">
        <v>0.77511351461660116</v>
      </c>
      <c r="AT50" s="20">
        <v>0.22248864853833988</v>
      </c>
      <c r="AU50" s="21" t="s">
        <v>255</v>
      </c>
      <c r="AV50" s="21" t="s">
        <v>107</v>
      </c>
    </row>
    <row r="51" spans="1:48" x14ac:dyDescent="0.35">
      <c r="A51" t="s">
        <v>167</v>
      </c>
      <c r="B51" t="s">
        <v>105</v>
      </c>
      <c r="C51" t="s">
        <v>168</v>
      </c>
      <c r="D51" s="17">
        <v>18702</v>
      </c>
      <c r="E51" s="17">
        <v>6039</v>
      </c>
      <c r="F51" s="17">
        <v>12663</v>
      </c>
      <c r="G51" s="17">
        <v>885</v>
      </c>
      <c r="H51" s="17">
        <v>16492</v>
      </c>
      <c r="I51" s="17">
        <v>1826</v>
      </c>
      <c r="J51" s="17">
        <v>984</v>
      </c>
      <c r="K51" s="17">
        <v>437</v>
      </c>
      <c r="L51" s="17">
        <v>372</v>
      </c>
      <c r="M51" s="17">
        <v>497</v>
      </c>
      <c r="N51" s="17">
        <v>157</v>
      </c>
      <c r="O51" s="17">
        <v>12219</v>
      </c>
      <c r="P51" s="17">
        <v>2425</v>
      </c>
      <c r="Q51" s="17">
        <v>250</v>
      </c>
      <c r="R51" s="17">
        <v>0</v>
      </c>
      <c r="S51" s="17">
        <v>145</v>
      </c>
      <c r="T51" s="17">
        <v>105</v>
      </c>
      <c r="U51" s="17">
        <v>0</v>
      </c>
      <c r="V51" s="17">
        <v>13568</v>
      </c>
      <c r="W51" s="17">
        <v>1737</v>
      </c>
      <c r="X51" s="17">
        <v>10984</v>
      </c>
      <c r="Y51" s="17">
        <v>578</v>
      </c>
      <c r="Z51" s="17">
        <v>4273</v>
      </c>
      <c r="AA51" s="17">
        <v>11683</v>
      </c>
      <c r="AB51" s="17">
        <v>909</v>
      </c>
      <c r="AC51" s="17">
        <v>1885</v>
      </c>
      <c r="AD51" s="17">
        <v>828</v>
      </c>
      <c r="AE51" s="17">
        <v>699</v>
      </c>
      <c r="AF51" s="17">
        <v>331</v>
      </c>
      <c r="AG51" s="18">
        <v>0.12802181603773585</v>
      </c>
      <c r="AH51" s="18">
        <v>5.9830522982110758E-2</v>
      </c>
      <c r="AI51" s="18">
        <v>0.86107016509433965</v>
      </c>
      <c r="AJ51" s="19">
        <v>0.10309278350515463</v>
      </c>
      <c r="AK51" s="18">
        <v>0.80955188679245282</v>
      </c>
      <c r="AL51" s="18">
        <v>0.13892983490566038</v>
      </c>
      <c r="AM51" s="19">
        <v>0</v>
      </c>
      <c r="AN51" s="19">
        <v>5.9793814432989693E-2</v>
      </c>
      <c r="AO51" s="19">
        <v>4.3298969072164947E-2</v>
      </c>
      <c r="AP51" s="19">
        <v>0</v>
      </c>
      <c r="AQ51" s="20">
        <v>6.9888651978204222E-2</v>
      </c>
      <c r="AR51" s="20">
        <v>0.62977221687520046</v>
      </c>
      <c r="AS51" s="20">
        <v>0.67709335899903755</v>
      </c>
      <c r="AT51" s="20">
        <v>0.32290664100096245</v>
      </c>
      <c r="AU51" s="21" t="s">
        <v>256</v>
      </c>
      <c r="AV51" s="21" t="s">
        <v>107</v>
      </c>
    </row>
    <row r="52" spans="1:48" x14ac:dyDescent="0.35">
      <c r="A52" t="s">
        <v>169</v>
      </c>
      <c r="B52" t="s">
        <v>105</v>
      </c>
      <c r="C52" t="s">
        <v>168</v>
      </c>
      <c r="D52" s="17">
        <v>26180</v>
      </c>
      <c r="E52" s="17">
        <v>3347</v>
      </c>
      <c r="F52" s="17">
        <v>22833</v>
      </c>
      <c r="G52" s="17">
        <v>1209</v>
      </c>
      <c r="H52" s="17">
        <v>26700</v>
      </c>
      <c r="I52" s="17">
        <v>1713</v>
      </c>
      <c r="J52" s="17">
        <v>1153</v>
      </c>
      <c r="K52" s="17">
        <v>673</v>
      </c>
      <c r="L52" s="17">
        <v>583</v>
      </c>
      <c r="M52" s="17">
        <v>794</v>
      </c>
      <c r="N52" s="17">
        <v>726</v>
      </c>
      <c r="O52" s="17">
        <v>21058</v>
      </c>
      <c r="P52" s="17">
        <v>2494</v>
      </c>
      <c r="Q52" s="17">
        <v>123</v>
      </c>
      <c r="R52" s="17">
        <v>31</v>
      </c>
      <c r="S52" s="17">
        <v>37</v>
      </c>
      <c r="T52" s="17">
        <v>0</v>
      </c>
      <c r="U52" s="17">
        <v>55</v>
      </c>
      <c r="V52" s="17">
        <v>24486</v>
      </c>
      <c r="W52" s="17">
        <v>2551</v>
      </c>
      <c r="X52" s="17">
        <v>21207</v>
      </c>
      <c r="Y52" s="17">
        <v>1277</v>
      </c>
      <c r="Z52" s="17">
        <v>5642</v>
      </c>
      <c r="AA52" s="17">
        <v>22399</v>
      </c>
      <c r="AB52" s="17">
        <v>1663</v>
      </c>
      <c r="AC52" s="17">
        <v>2087</v>
      </c>
      <c r="AD52" s="17">
        <v>888</v>
      </c>
      <c r="AE52" s="17">
        <v>1192</v>
      </c>
      <c r="AF52" s="17">
        <v>386</v>
      </c>
      <c r="AG52" s="18">
        <v>0.1041819815404721</v>
      </c>
      <c r="AH52" s="18">
        <v>5.3216661458100806E-2</v>
      </c>
      <c r="AI52" s="18">
        <v>0.91476762231479214</v>
      </c>
      <c r="AJ52" s="19">
        <v>4.9318364073777064E-2</v>
      </c>
      <c r="AK52" s="18">
        <v>0.86608674344523406</v>
      </c>
      <c r="AL52" s="18">
        <v>8.5232377685207875E-2</v>
      </c>
      <c r="AM52" s="19">
        <v>1.2429831595829992E-2</v>
      </c>
      <c r="AN52" s="19">
        <v>1.483560545308741E-2</v>
      </c>
      <c r="AO52" s="19">
        <v>0</v>
      </c>
      <c r="AP52" s="19">
        <v>2.2052927024859663E-2</v>
      </c>
      <c r="AQ52" s="20">
        <v>5.2949678097490474E-2</v>
      </c>
      <c r="AR52" s="20">
        <v>0.82597402597402603</v>
      </c>
      <c r="AS52" s="20">
        <v>0.87215431627196338</v>
      </c>
      <c r="AT52" s="20">
        <v>0.12784568372803667</v>
      </c>
      <c r="AU52" s="21" t="s">
        <v>257</v>
      </c>
      <c r="AV52" s="21" t="s">
        <v>107</v>
      </c>
    </row>
    <row r="53" spans="1:48" x14ac:dyDescent="0.35">
      <c r="A53" t="s">
        <v>170</v>
      </c>
      <c r="B53" t="s">
        <v>105</v>
      </c>
      <c r="C53" t="s">
        <v>168</v>
      </c>
      <c r="D53" s="17">
        <v>4420</v>
      </c>
      <c r="E53" s="17">
        <v>855</v>
      </c>
      <c r="F53" s="17">
        <v>3565</v>
      </c>
      <c r="G53" s="17">
        <v>153</v>
      </c>
      <c r="H53" s="17">
        <v>4773</v>
      </c>
      <c r="I53" s="17">
        <v>224</v>
      </c>
      <c r="J53" s="17">
        <v>66</v>
      </c>
      <c r="K53" s="17">
        <v>26</v>
      </c>
      <c r="L53" s="17">
        <v>35</v>
      </c>
      <c r="M53" s="17">
        <v>125</v>
      </c>
      <c r="N53" s="17">
        <v>63</v>
      </c>
      <c r="O53" s="17">
        <v>4234</v>
      </c>
      <c r="P53" s="17">
        <v>932</v>
      </c>
      <c r="Q53" s="17">
        <v>17</v>
      </c>
      <c r="R53" s="17">
        <v>0</v>
      </c>
      <c r="S53" s="17">
        <v>17</v>
      </c>
      <c r="T53" s="17">
        <v>0</v>
      </c>
      <c r="U53" s="17">
        <v>0</v>
      </c>
      <c r="V53" s="17">
        <v>3856</v>
      </c>
      <c r="W53" s="17">
        <v>250</v>
      </c>
      <c r="X53" s="17">
        <v>3303</v>
      </c>
      <c r="Y53" s="17">
        <v>68</v>
      </c>
      <c r="Z53" s="17">
        <v>539</v>
      </c>
      <c r="AA53" s="17">
        <v>3456</v>
      </c>
      <c r="AB53" s="17">
        <v>156</v>
      </c>
      <c r="AC53" s="17">
        <v>400</v>
      </c>
      <c r="AD53" s="17">
        <v>94</v>
      </c>
      <c r="AE53" s="17">
        <v>153</v>
      </c>
      <c r="AF53" s="17">
        <v>88</v>
      </c>
      <c r="AG53" s="18">
        <v>6.4834024896265566E-2</v>
      </c>
      <c r="AH53" s="18">
        <v>4.4270833333333336E-2</v>
      </c>
      <c r="AI53" s="18">
        <v>0.89626556016597514</v>
      </c>
      <c r="AJ53" s="19">
        <v>1.8240343347639486E-2</v>
      </c>
      <c r="AK53" s="18">
        <v>0.85658713692946054</v>
      </c>
      <c r="AL53" s="18">
        <v>0.1037344398340249</v>
      </c>
      <c r="AM53" s="19">
        <v>0</v>
      </c>
      <c r="AN53" s="19">
        <v>1.8240343347639486E-2</v>
      </c>
      <c r="AO53" s="19">
        <v>0</v>
      </c>
      <c r="AP53" s="19">
        <v>0</v>
      </c>
      <c r="AQ53" s="20">
        <v>4.291725105189341E-2</v>
      </c>
      <c r="AR53" s="20">
        <v>0.7719457013574661</v>
      </c>
      <c r="AS53" s="20">
        <v>0.8065610859728507</v>
      </c>
      <c r="AT53" s="20">
        <v>0.19343891402714933</v>
      </c>
      <c r="AU53" s="21" t="s">
        <v>258</v>
      </c>
      <c r="AV53" s="21" t="s">
        <v>107</v>
      </c>
    </row>
    <row r="54" spans="1:48" x14ac:dyDescent="0.35">
      <c r="A54" t="s">
        <v>171</v>
      </c>
      <c r="B54" t="s">
        <v>105</v>
      </c>
      <c r="C54" t="s">
        <v>168</v>
      </c>
      <c r="D54" s="17">
        <v>7298</v>
      </c>
      <c r="E54" s="17">
        <v>2219</v>
      </c>
      <c r="F54" s="17">
        <v>5079</v>
      </c>
      <c r="G54" s="17">
        <v>168</v>
      </c>
      <c r="H54" s="17">
        <v>8233</v>
      </c>
      <c r="I54" s="17">
        <v>272</v>
      </c>
      <c r="J54" s="17">
        <v>282</v>
      </c>
      <c r="K54" s="17">
        <v>41</v>
      </c>
      <c r="L54" s="17">
        <v>114</v>
      </c>
      <c r="M54" s="17">
        <v>146</v>
      </c>
      <c r="N54" s="17">
        <v>142</v>
      </c>
      <c r="O54" s="17">
        <v>7236</v>
      </c>
      <c r="P54" s="17">
        <v>1830</v>
      </c>
      <c r="Q54" s="17">
        <v>9</v>
      </c>
      <c r="R54" s="17">
        <v>0</v>
      </c>
      <c r="S54" s="17">
        <v>0</v>
      </c>
      <c r="T54" s="17">
        <v>0</v>
      </c>
      <c r="U54" s="17">
        <v>9</v>
      </c>
      <c r="V54" s="17">
        <v>5837</v>
      </c>
      <c r="W54" s="17">
        <v>382</v>
      </c>
      <c r="X54" s="17">
        <v>4567</v>
      </c>
      <c r="Y54" s="17">
        <v>105</v>
      </c>
      <c r="Z54" s="17">
        <v>997</v>
      </c>
      <c r="AA54" s="17">
        <v>4704</v>
      </c>
      <c r="AB54" s="17">
        <v>181</v>
      </c>
      <c r="AC54" s="17">
        <v>1133</v>
      </c>
      <c r="AD54" s="17">
        <v>201</v>
      </c>
      <c r="AE54" s="17">
        <v>137</v>
      </c>
      <c r="AF54" s="17">
        <v>76</v>
      </c>
      <c r="AG54" s="18">
        <v>6.54445776940209E-2</v>
      </c>
      <c r="AH54" s="18">
        <v>2.9124149659863947E-2</v>
      </c>
      <c r="AI54" s="18">
        <v>0.80589343841014216</v>
      </c>
      <c r="AJ54" s="19">
        <v>4.9180327868852463E-3</v>
      </c>
      <c r="AK54" s="18">
        <v>0.78242247729998282</v>
      </c>
      <c r="AL54" s="18">
        <v>0.19410656158985781</v>
      </c>
      <c r="AM54" s="19">
        <v>0</v>
      </c>
      <c r="AN54" s="19">
        <v>0</v>
      </c>
      <c r="AO54" s="19">
        <v>0</v>
      </c>
      <c r="AP54" s="19">
        <v>4.9180327868852463E-3</v>
      </c>
      <c r="AQ54" s="20">
        <v>3.3077377436503248E-2</v>
      </c>
      <c r="AR54" s="20">
        <v>0.67292408879144971</v>
      </c>
      <c r="AS54" s="20">
        <v>0.69594409427240345</v>
      </c>
      <c r="AT54" s="20">
        <v>0.30405590572759661</v>
      </c>
      <c r="AU54" s="21" t="s">
        <v>259</v>
      </c>
      <c r="AV54" s="21" t="s">
        <v>107</v>
      </c>
    </row>
    <row r="55" spans="1:48" x14ac:dyDescent="0.35">
      <c r="A55" t="s">
        <v>172</v>
      </c>
      <c r="B55" t="s">
        <v>105</v>
      </c>
      <c r="C55" t="s">
        <v>168</v>
      </c>
      <c r="D55" s="17">
        <v>4933</v>
      </c>
      <c r="E55" s="17">
        <v>1920</v>
      </c>
      <c r="F55" s="17">
        <v>3013</v>
      </c>
      <c r="G55" s="17">
        <v>441</v>
      </c>
      <c r="H55" s="17">
        <v>5762</v>
      </c>
      <c r="I55" s="17">
        <v>19</v>
      </c>
      <c r="J55" s="17">
        <v>72</v>
      </c>
      <c r="K55" s="17">
        <v>16</v>
      </c>
      <c r="L55" s="17">
        <v>13</v>
      </c>
      <c r="M55" s="17">
        <v>205</v>
      </c>
      <c r="N55" s="17">
        <v>31</v>
      </c>
      <c r="O55" s="17">
        <v>5406</v>
      </c>
      <c r="P55" s="17">
        <v>1614</v>
      </c>
      <c r="Q55" s="17">
        <v>0</v>
      </c>
      <c r="R55" s="17">
        <v>0</v>
      </c>
      <c r="S55" s="17">
        <v>0</v>
      </c>
      <c r="T55" s="17">
        <v>0</v>
      </c>
      <c r="U55" s="17">
        <v>0</v>
      </c>
      <c r="V55" s="17">
        <v>3299</v>
      </c>
      <c r="W55" s="17">
        <v>72</v>
      </c>
      <c r="X55" s="17">
        <v>2440</v>
      </c>
      <c r="Y55" s="17">
        <v>0</v>
      </c>
      <c r="Z55" s="17">
        <v>356</v>
      </c>
      <c r="AA55" s="17">
        <v>2881</v>
      </c>
      <c r="AB55" s="17">
        <v>72</v>
      </c>
      <c r="AC55" s="17">
        <v>418</v>
      </c>
      <c r="AD55" s="17">
        <v>0</v>
      </c>
      <c r="AE55" s="17">
        <v>441</v>
      </c>
      <c r="AF55" s="17">
        <v>72</v>
      </c>
      <c r="AG55" s="18">
        <v>2.1824795392543193E-2</v>
      </c>
      <c r="AH55" s="18">
        <v>0.15307185005206525</v>
      </c>
      <c r="AI55" s="18">
        <v>0.8732949378599576</v>
      </c>
      <c r="AJ55" s="19">
        <v>0</v>
      </c>
      <c r="AK55" s="18">
        <v>0.73961806608063052</v>
      </c>
      <c r="AL55" s="18">
        <v>0.12670506214004243</v>
      </c>
      <c r="AM55" s="19">
        <v>0</v>
      </c>
      <c r="AN55" s="19">
        <v>0</v>
      </c>
      <c r="AO55" s="19">
        <v>0</v>
      </c>
      <c r="AP55" s="19">
        <v>0</v>
      </c>
      <c r="AQ55" s="20">
        <v>0.14636574842349817</v>
      </c>
      <c r="AR55" s="20">
        <v>0.52138658017433614</v>
      </c>
      <c r="AS55" s="20">
        <v>0.61078451246705856</v>
      </c>
      <c r="AT55" s="20">
        <v>0.38921548753294144</v>
      </c>
      <c r="AU55" s="21" t="s">
        <v>260</v>
      </c>
      <c r="AV55" s="21" t="s">
        <v>107</v>
      </c>
    </row>
    <row r="56" spans="1:48" x14ac:dyDescent="0.35">
      <c r="A56" t="s">
        <v>173</v>
      </c>
      <c r="B56" t="s">
        <v>105</v>
      </c>
      <c r="C56" t="s">
        <v>174</v>
      </c>
      <c r="D56" s="17">
        <v>8940</v>
      </c>
      <c r="E56" s="17">
        <v>2045</v>
      </c>
      <c r="F56" s="17">
        <v>6895</v>
      </c>
      <c r="G56" s="17">
        <v>391</v>
      </c>
      <c r="H56" s="17">
        <v>10314</v>
      </c>
      <c r="I56" s="17">
        <v>355</v>
      </c>
      <c r="J56" s="17">
        <v>563</v>
      </c>
      <c r="K56" s="17">
        <v>75</v>
      </c>
      <c r="L56" s="17">
        <v>161</v>
      </c>
      <c r="M56" s="17">
        <v>181</v>
      </c>
      <c r="N56" s="17">
        <v>38</v>
      </c>
      <c r="O56" s="17">
        <v>8941</v>
      </c>
      <c r="P56" s="17">
        <v>2414</v>
      </c>
      <c r="Q56" s="17">
        <v>95</v>
      </c>
      <c r="R56" s="17">
        <v>34</v>
      </c>
      <c r="S56" s="17">
        <v>26</v>
      </c>
      <c r="T56" s="17">
        <v>26</v>
      </c>
      <c r="U56" s="17">
        <v>9</v>
      </c>
      <c r="V56" s="17">
        <v>7442</v>
      </c>
      <c r="W56" s="17">
        <v>707</v>
      </c>
      <c r="X56" s="17">
        <v>6137</v>
      </c>
      <c r="Y56" s="17">
        <v>412</v>
      </c>
      <c r="Z56" s="17">
        <v>1373</v>
      </c>
      <c r="AA56" s="17">
        <v>6528</v>
      </c>
      <c r="AB56" s="17">
        <v>497</v>
      </c>
      <c r="AC56" s="17">
        <v>914</v>
      </c>
      <c r="AD56" s="17">
        <v>210</v>
      </c>
      <c r="AE56" s="17">
        <v>391</v>
      </c>
      <c r="AF56" s="17">
        <v>85</v>
      </c>
      <c r="AG56" s="18">
        <v>9.5001343724805162E-2</v>
      </c>
      <c r="AH56" s="18">
        <v>5.9895833333333336E-2</v>
      </c>
      <c r="AI56" s="18">
        <v>0.87718355280838489</v>
      </c>
      <c r="AJ56" s="19">
        <v>3.9353769676884837E-2</v>
      </c>
      <c r="AK56" s="18">
        <v>0.82464391292663264</v>
      </c>
      <c r="AL56" s="18">
        <v>0.12281644719161516</v>
      </c>
      <c r="AM56" s="19">
        <v>1.4084507042253521E-2</v>
      </c>
      <c r="AN56" s="19">
        <v>1.0770505385252692E-2</v>
      </c>
      <c r="AO56" s="19">
        <v>1.0770505385252692E-2</v>
      </c>
      <c r="AP56" s="19">
        <v>3.728251864125932E-3</v>
      </c>
      <c r="AQ56" s="20">
        <v>5.6707759245830311E-2</v>
      </c>
      <c r="AR56" s="20">
        <v>0.72751677852348995</v>
      </c>
      <c r="AS56" s="20">
        <v>0.77125279642058164</v>
      </c>
      <c r="AT56" s="20">
        <v>0.22874720357941836</v>
      </c>
      <c r="AU56" s="21" t="s">
        <v>261</v>
      </c>
      <c r="AV56" s="21" t="s">
        <v>107</v>
      </c>
    </row>
    <row r="57" spans="1:48" x14ac:dyDescent="0.35">
      <c r="A57" t="s">
        <v>175</v>
      </c>
      <c r="B57" t="s">
        <v>105</v>
      </c>
      <c r="C57" t="s">
        <v>174</v>
      </c>
      <c r="D57" s="17">
        <v>22571</v>
      </c>
      <c r="E57" s="17">
        <v>10142</v>
      </c>
      <c r="F57" s="17">
        <v>12429</v>
      </c>
      <c r="G57" s="17">
        <v>1043</v>
      </c>
      <c r="H57" s="17">
        <v>14049</v>
      </c>
      <c r="I57" s="17">
        <v>3881</v>
      </c>
      <c r="J57" s="17">
        <v>1486</v>
      </c>
      <c r="K57" s="17">
        <v>491</v>
      </c>
      <c r="L57" s="17">
        <v>479</v>
      </c>
      <c r="M57" s="17">
        <v>773</v>
      </c>
      <c r="N57" s="17">
        <v>308</v>
      </c>
      <c r="O57" s="17">
        <v>6631</v>
      </c>
      <c r="P57" s="17">
        <v>1253</v>
      </c>
      <c r="Q57" s="17">
        <v>187</v>
      </c>
      <c r="R57" s="17">
        <v>14</v>
      </c>
      <c r="S57" s="17">
        <v>0</v>
      </c>
      <c r="T57" s="17">
        <v>119</v>
      </c>
      <c r="U57" s="17">
        <v>54</v>
      </c>
      <c r="V57" s="17">
        <v>11825</v>
      </c>
      <c r="W57" s="17">
        <v>4581</v>
      </c>
      <c r="X57" s="17">
        <v>7962</v>
      </c>
      <c r="Y57" s="17">
        <v>1732</v>
      </c>
      <c r="Z57" s="17">
        <v>7418</v>
      </c>
      <c r="AA57" s="17">
        <v>8332</v>
      </c>
      <c r="AB57" s="17">
        <v>2026</v>
      </c>
      <c r="AC57" s="17">
        <v>3493</v>
      </c>
      <c r="AD57" s="17">
        <v>2555</v>
      </c>
      <c r="AE57" s="17">
        <v>370</v>
      </c>
      <c r="AF57" s="17">
        <v>294</v>
      </c>
      <c r="AG57" s="18">
        <v>0.387399577167019</v>
      </c>
      <c r="AH57" s="18">
        <v>4.4407105136821889E-2</v>
      </c>
      <c r="AI57" s="18">
        <v>0.70460887949260043</v>
      </c>
      <c r="AJ57" s="19">
        <v>0.14924181963288108</v>
      </c>
      <c r="AK57" s="18">
        <v>0.67331923890063428</v>
      </c>
      <c r="AL57" s="18">
        <v>0.29539112050739957</v>
      </c>
      <c r="AM57" s="19">
        <v>1.11731843575419E-2</v>
      </c>
      <c r="AN57" s="19">
        <v>0</v>
      </c>
      <c r="AO57" s="19">
        <v>9.4972067039106142E-2</v>
      </c>
      <c r="AP57" s="19">
        <v>4.3096568236233042E-2</v>
      </c>
      <c r="AQ57" s="20">
        <v>8.3916646552417734E-2</v>
      </c>
      <c r="AR57" s="20">
        <v>0.50445261618891502</v>
      </c>
      <c r="AS57" s="20">
        <v>0.5506623543485003</v>
      </c>
      <c r="AT57" s="20">
        <v>0.4493376456514997</v>
      </c>
      <c r="AU57" s="21" t="s">
        <v>262</v>
      </c>
      <c r="AV57" s="21" t="s">
        <v>107</v>
      </c>
    </row>
    <row r="58" spans="1:48" x14ac:dyDescent="0.35">
      <c r="A58" t="s">
        <v>176</v>
      </c>
      <c r="B58" t="s">
        <v>105</v>
      </c>
      <c r="C58" t="s">
        <v>174</v>
      </c>
      <c r="D58" s="17">
        <v>23569</v>
      </c>
      <c r="E58" s="17">
        <v>6669</v>
      </c>
      <c r="F58" s="17">
        <v>16890</v>
      </c>
      <c r="G58" s="17">
        <v>550</v>
      </c>
      <c r="H58" s="17">
        <v>26741</v>
      </c>
      <c r="I58" s="17">
        <v>1819</v>
      </c>
      <c r="J58" s="17">
        <v>1033</v>
      </c>
      <c r="K58" s="17">
        <v>627</v>
      </c>
      <c r="L58" s="17">
        <v>396</v>
      </c>
      <c r="M58" s="17">
        <v>720</v>
      </c>
      <c r="N58" s="17">
        <v>316</v>
      </c>
      <c r="O58" s="17">
        <v>21830</v>
      </c>
      <c r="P58" s="17">
        <v>5829</v>
      </c>
      <c r="Q58" s="17">
        <v>102</v>
      </c>
      <c r="R58" s="17">
        <v>10</v>
      </c>
      <c r="S58" s="17">
        <v>20</v>
      </c>
      <c r="T58" s="17">
        <v>39</v>
      </c>
      <c r="U58" s="17">
        <v>33</v>
      </c>
      <c r="V58" s="17">
        <v>18651</v>
      </c>
      <c r="W58" s="17">
        <v>2425</v>
      </c>
      <c r="X58" s="17">
        <v>14898</v>
      </c>
      <c r="Y58" s="17">
        <v>865</v>
      </c>
      <c r="Z58" s="17">
        <v>4911</v>
      </c>
      <c r="AA58" s="17">
        <v>15339</v>
      </c>
      <c r="AB58" s="17">
        <v>1033</v>
      </c>
      <c r="AC58" s="17">
        <v>3302</v>
      </c>
      <c r="AD58" s="17">
        <v>1392</v>
      </c>
      <c r="AE58" s="17">
        <v>441</v>
      </c>
      <c r="AF58" s="17">
        <v>168</v>
      </c>
      <c r="AG58" s="18">
        <v>0.13001983807838721</v>
      </c>
      <c r="AH58" s="18">
        <v>2.8750244474867983E-2</v>
      </c>
      <c r="AI58" s="18">
        <v>0.82242239022036356</v>
      </c>
      <c r="AJ58" s="19">
        <v>1.7498713329902212E-2</v>
      </c>
      <c r="AK58" s="18">
        <v>0.79877754543992274</v>
      </c>
      <c r="AL58" s="18">
        <v>0.17704144549890086</v>
      </c>
      <c r="AM58" s="19">
        <v>1.7155601303825698E-3</v>
      </c>
      <c r="AN58" s="19">
        <v>3.4311202607651397E-3</v>
      </c>
      <c r="AO58" s="19">
        <v>6.6906845084920225E-3</v>
      </c>
      <c r="AP58" s="19">
        <v>5.6613484302624811E-3</v>
      </c>
      <c r="AQ58" s="20">
        <v>3.2563647128478389E-2</v>
      </c>
      <c r="AR58" s="20">
        <v>0.69328355042640755</v>
      </c>
      <c r="AS58" s="20">
        <v>0.71661928804785946</v>
      </c>
      <c r="AT58" s="20">
        <v>0.28295642581356867</v>
      </c>
      <c r="AU58" s="21" t="s">
        <v>263</v>
      </c>
      <c r="AV58" s="21" t="s">
        <v>107</v>
      </c>
    </row>
    <row r="59" spans="1:48" x14ac:dyDescent="0.35">
      <c r="A59" t="s">
        <v>177</v>
      </c>
      <c r="B59" t="s">
        <v>105</v>
      </c>
      <c r="C59" t="s">
        <v>174</v>
      </c>
      <c r="D59" s="17">
        <v>14244</v>
      </c>
      <c r="E59" s="17">
        <v>3911</v>
      </c>
      <c r="F59" s="17">
        <v>10320</v>
      </c>
      <c r="G59" s="17">
        <v>393</v>
      </c>
      <c r="H59" s="17">
        <v>17392</v>
      </c>
      <c r="I59" s="17">
        <v>171</v>
      </c>
      <c r="J59" s="17">
        <v>514</v>
      </c>
      <c r="K59" s="17">
        <v>109</v>
      </c>
      <c r="L59" s="17">
        <v>214</v>
      </c>
      <c r="M59" s="17">
        <v>278</v>
      </c>
      <c r="N59" s="17">
        <v>254</v>
      </c>
      <c r="O59" s="17">
        <v>15852</v>
      </c>
      <c r="P59" s="17">
        <v>4742</v>
      </c>
      <c r="Q59" s="17">
        <v>95</v>
      </c>
      <c r="R59" s="17">
        <v>6</v>
      </c>
      <c r="S59" s="17">
        <v>89</v>
      </c>
      <c r="T59" s="17">
        <v>0</v>
      </c>
      <c r="U59" s="17">
        <v>0</v>
      </c>
      <c r="V59" s="17">
        <v>10857</v>
      </c>
      <c r="W59" s="17">
        <v>486</v>
      </c>
      <c r="X59" s="17">
        <v>9158</v>
      </c>
      <c r="Y59" s="17">
        <v>248</v>
      </c>
      <c r="Z59" s="17">
        <v>1540</v>
      </c>
      <c r="AA59" s="17">
        <v>9438</v>
      </c>
      <c r="AB59" s="17">
        <v>265</v>
      </c>
      <c r="AC59" s="17">
        <v>1406</v>
      </c>
      <c r="AD59" s="17">
        <v>221</v>
      </c>
      <c r="AE59" s="17">
        <v>280</v>
      </c>
      <c r="AF59" s="17">
        <v>17</v>
      </c>
      <c r="AG59" s="18">
        <v>4.4763746891406463E-2</v>
      </c>
      <c r="AH59" s="18">
        <v>2.9667302394575122E-2</v>
      </c>
      <c r="AI59" s="18">
        <v>0.8693009118541033</v>
      </c>
      <c r="AJ59" s="19">
        <v>2.0033741037536905E-2</v>
      </c>
      <c r="AK59" s="18">
        <v>0.84351109883024777</v>
      </c>
      <c r="AL59" s="18">
        <v>0.12950170396978908</v>
      </c>
      <c r="AM59" s="19">
        <v>1.2652889076339097E-3</v>
      </c>
      <c r="AN59" s="19">
        <v>1.8768452129902996E-2</v>
      </c>
      <c r="AO59" s="19">
        <v>0</v>
      </c>
      <c r="AP59" s="19">
        <v>0</v>
      </c>
      <c r="AQ59" s="20">
        <v>3.8081395348837206E-2</v>
      </c>
      <c r="AR59" s="20">
        <v>0.69692502106149956</v>
      </c>
      <c r="AS59" s="20">
        <v>0.72451558550968831</v>
      </c>
      <c r="AT59" s="20">
        <v>0.274571749508565</v>
      </c>
      <c r="AU59" s="21" t="s">
        <v>264</v>
      </c>
      <c r="AV59" s="21" t="s">
        <v>107</v>
      </c>
    </row>
    <row r="60" spans="1:48" x14ac:dyDescent="0.35">
      <c r="A60" t="s">
        <v>178</v>
      </c>
      <c r="B60" t="s">
        <v>105</v>
      </c>
      <c r="C60" t="s">
        <v>174</v>
      </c>
      <c r="D60" s="17">
        <v>8634</v>
      </c>
      <c r="E60" s="17">
        <v>3120</v>
      </c>
      <c r="F60" s="17">
        <v>5485</v>
      </c>
      <c r="G60" s="17">
        <v>226</v>
      </c>
      <c r="H60" s="17">
        <v>11147</v>
      </c>
      <c r="I60" s="17">
        <v>350</v>
      </c>
      <c r="J60" s="17">
        <v>409</v>
      </c>
      <c r="K60" s="17">
        <v>72</v>
      </c>
      <c r="L60" s="17">
        <v>66</v>
      </c>
      <c r="M60" s="17">
        <v>92</v>
      </c>
      <c r="N60" s="17">
        <v>28</v>
      </c>
      <c r="O60" s="17">
        <v>10130</v>
      </c>
      <c r="P60" s="17">
        <v>3029</v>
      </c>
      <c r="Q60" s="17">
        <v>76</v>
      </c>
      <c r="R60" s="17">
        <v>18</v>
      </c>
      <c r="S60" s="17">
        <v>10</v>
      </c>
      <c r="T60" s="17">
        <v>44</v>
      </c>
      <c r="U60" s="17">
        <v>4</v>
      </c>
      <c r="V60" s="17">
        <v>6032</v>
      </c>
      <c r="W60" s="17">
        <v>524</v>
      </c>
      <c r="X60" s="17">
        <v>4665</v>
      </c>
      <c r="Y60" s="17">
        <v>203</v>
      </c>
      <c r="Z60" s="17">
        <v>1017</v>
      </c>
      <c r="AA60" s="17">
        <v>4861</v>
      </c>
      <c r="AB60" s="17">
        <v>254</v>
      </c>
      <c r="AC60" s="17">
        <v>1142</v>
      </c>
      <c r="AD60" s="17">
        <v>270</v>
      </c>
      <c r="AE60" s="17">
        <v>196</v>
      </c>
      <c r="AF60" s="17">
        <v>51</v>
      </c>
      <c r="AG60" s="18">
        <v>8.6870026525198943E-2</v>
      </c>
      <c r="AH60" s="18">
        <v>4.0320921621065625E-2</v>
      </c>
      <c r="AI60" s="18">
        <v>0.80586870026525204</v>
      </c>
      <c r="AJ60" s="19">
        <v>2.5090789039286892E-2</v>
      </c>
      <c r="AK60" s="18">
        <v>0.77337533156498672</v>
      </c>
      <c r="AL60" s="18">
        <v>0.1893236074270557</v>
      </c>
      <c r="AM60" s="19">
        <v>5.9425552987784746E-3</v>
      </c>
      <c r="AN60" s="19">
        <v>3.3014196104324861E-3</v>
      </c>
      <c r="AO60" s="19">
        <v>1.4526246285902938E-2</v>
      </c>
      <c r="AP60" s="19">
        <v>1.3205678441729944E-3</v>
      </c>
      <c r="AQ60" s="20">
        <v>4.120328167730173E-2</v>
      </c>
      <c r="AR60" s="20">
        <v>0.6091035441278666</v>
      </c>
      <c r="AS60" s="20">
        <v>0.63527912902478578</v>
      </c>
      <c r="AT60" s="20">
        <v>0.36136205698401669</v>
      </c>
      <c r="AU60" s="21" t="s">
        <v>265</v>
      </c>
      <c r="AV60" s="21" t="s">
        <v>107</v>
      </c>
    </row>
    <row r="61" spans="1:48" x14ac:dyDescent="0.35">
      <c r="A61" t="s">
        <v>179</v>
      </c>
      <c r="B61" t="s">
        <v>105</v>
      </c>
      <c r="C61" t="s">
        <v>106</v>
      </c>
      <c r="D61" s="17">
        <v>15064</v>
      </c>
      <c r="E61" s="17">
        <v>4879</v>
      </c>
      <c r="F61" s="17">
        <v>10185</v>
      </c>
      <c r="G61" s="17">
        <v>534</v>
      </c>
      <c r="H61" s="17">
        <v>17199</v>
      </c>
      <c r="I61" s="17">
        <v>1266</v>
      </c>
      <c r="J61" s="17">
        <v>1047</v>
      </c>
      <c r="K61" s="17">
        <v>587</v>
      </c>
      <c r="L61" s="17">
        <v>304</v>
      </c>
      <c r="M61" s="17">
        <v>274</v>
      </c>
      <c r="N61" s="17">
        <v>282</v>
      </c>
      <c r="O61" s="17">
        <v>13439</v>
      </c>
      <c r="P61" s="17">
        <v>3955</v>
      </c>
      <c r="Q61" s="17">
        <v>502</v>
      </c>
      <c r="R61" s="17">
        <v>12</v>
      </c>
      <c r="S61" s="17">
        <v>170</v>
      </c>
      <c r="T61" s="17">
        <v>203</v>
      </c>
      <c r="U61" s="17">
        <v>117</v>
      </c>
      <c r="V61" s="17">
        <v>11406</v>
      </c>
      <c r="W61" s="17">
        <v>1690</v>
      </c>
      <c r="X61" s="17">
        <v>8865</v>
      </c>
      <c r="Y61" s="17">
        <v>469</v>
      </c>
      <c r="Z61" s="17">
        <v>3760</v>
      </c>
      <c r="AA61" s="17">
        <v>9323</v>
      </c>
      <c r="AB61" s="17">
        <v>527</v>
      </c>
      <c r="AC61" s="17">
        <v>2083</v>
      </c>
      <c r="AD61" s="17">
        <v>1163</v>
      </c>
      <c r="AE61" s="17">
        <v>458</v>
      </c>
      <c r="AF61" s="17">
        <v>58</v>
      </c>
      <c r="AG61" s="18">
        <v>0.14816763107136594</v>
      </c>
      <c r="AH61" s="18">
        <v>4.9125817869784406E-2</v>
      </c>
      <c r="AI61" s="18">
        <v>0.81737681921795546</v>
      </c>
      <c r="AJ61" s="19">
        <v>0.12692793931731985</v>
      </c>
      <c r="AK61" s="18">
        <v>0.77722251446607049</v>
      </c>
      <c r="AL61" s="18">
        <v>0.18262318078204454</v>
      </c>
      <c r="AM61" s="19">
        <v>3.0341340075853351E-3</v>
      </c>
      <c r="AN61" s="19">
        <v>4.2983565107458911E-2</v>
      </c>
      <c r="AO61" s="19">
        <v>5.1327433628318583E-2</v>
      </c>
      <c r="AP61" s="19">
        <v>2.9582806573957017E-2</v>
      </c>
      <c r="AQ61" s="20">
        <v>5.2430044182621503E-2</v>
      </c>
      <c r="AR61" s="20">
        <v>0.64066648964418482</v>
      </c>
      <c r="AS61" s="20">
        <v>0.6761152416356877</v>
      </c>
      <c r="AT61" s="20">
        <v>0.32388475836431224</v>
      </c>
      <c r="AU61" s="21" t="s">
        <v>266</v>
      </c>
      <c r="AV61" s="21" t="s">
        <v>107</v>
      </c>
    </row>
    <row r="62" spans="1:48" x14ac:dyDescent="0.35">
      <c r="A62" t="s">
        <v>180</v>
      </c>
      <c r="B62" t="s">
        <v>181</v>
      </c>
      <c r="C62" t="s">
        <v>180</v>
      </c>
      <c r="D62" s="17">
        <v>340150</v>
      </c>
      <c r="E62" s="17">
        <v>92665</v>
      </c>
      <c r="F62" s="17">
        <v>247082</v>
      </c>
      <c r="G62" s="17">
        <v>9084</v>
      </c>
      <c r="H62" s="17">
        <v>402638</v>
      </c>
      <c r="I62" s="17">
        <v>14775</v>
      </c>
      <c r="J62" s="17">
        <v>11738</v>
      </c>
      <c r="K62" s="17">
        <v>5933</v>
      </c>
      <c r="L62" s="17">
        <v>5735</v>
      </c>
      <c r="M62" s="17">
        <v>9839</v>
      </c>
      <c r="N62" s="17">
        <v>4791</v>
      </c>
      <c r="O62" s="17">
        <v>349827</v>
      </c>
      <c r="P62" s="17">
        <v>97543</v>
      </c>
      <c r="Q62" s="17">
        <v>3136</v>
      </c>
      <c r="R62" s="17">
        <v>528</v>
      </c>
      <c r="S62" s="17">
        <v>793</v>
      </c>
      <c r="T62" s="17">
        <v>1209</v>
      </c>
      <c r="U62" s="17">
        <v>606</v>
      </c>
      <c r="V62" s="17">
        <v>266199</v>
      </c>
      <c r="W62" s="17">
        <v>17835</v>
      </c>
      <c r="X62" s="17">
        <v>220723</v>
      </c>
      <c r="Y62" s="17">
        <v>6877</v>
      </c>
      <c r="Z62" s="17">
        <v>52811</v>
      </c>
      <c r="AA62" s="17">
        <v>228766</v>
      </c>
      <c r="AB62" s="17">
        <v>9049</v>
      </c>
      <c r="AC62" s="17">
        <v>37097</v>
      </c>
      <c r="AD62" s="17">
        <v>8786</v>
      </c>
      <c r="AE62" s="17">
        <v>8043</v>
      </c>
      <c r="AF62" s="17">
        <v>2172</v>
      </c>
      <c r="AG62" s="18">
        <v>6.6998749056157242E-2</v>
      </c>
      <c r="AH62" s="18">
        <v>3.5158196585156884E-2</v>
      </c>
      <c r="AI62" s="18">
        <v>0.85937963703845621</v>
      </c>
      <c r="AJ62" s="19">
        <v>3.2149923623427619E-2</v>
      </c>
      <c r="AK62" s="18">
        <v>0.82916539881817741</v>
      </c>
      <c r="AL62" s="18">
        <v>0.13935814935443033</v>
      </c>
      <c r="AM62" s="19">
        <v>5.4129973447607721E-3</v>
      </c>
      <c r="AN62" s="19">
        <v>8.1297479060516899E-3</v>
      </c>
      <c r="AO62" s="19">
        <v>1.2394533692832905E-2</v>
      </c>
      <c r="AP62" s="19">
        <v>6.2126446797822503E-3</v>
      </c>
      <c r="AQ62" s="20">
        <v>3.6765122509935973E-2</v>
      </c>
      <c r="AR62" s="20">
        <v>0.69968543289725116</v>
      </c>
      <c r="AS62" s="20">
        <v>0.72639129795678381</v>
      </c>
      <c r="AT62" s="20">
        <v>0.27242393061884462</v>
      </c>
      <c r="AU62" s="21" t="s">
        <v>267</v>
      </c>
      <c r="AV62" s="21" t="s">
        <v>107</v>
      </c>
    </row>
    <row r="63" spans="1:48" x14ac:dyDescent="0.35">
      <c r="A63" t="s">
        <v>182</v>
      </c>
      <c r="B63" t="s">
        <v>181</v>
      </c>
      <c r="C63" t="s">
        <v>183</v>
      </c>
      <c r="D63" s="17">
        <v>7448</v>
      </c>
      <c r="E63" s="17">
        <v>1501</v>
      </c>
      <c r="F63" s="17">
        <v>5947</v>
      </c>
      <c r="G63" s="17">
        <v>246</v>
      </c>
      <c r="H63" s="17">
        <v>8062</v>
      </c>
      <c r="I63" s="17">
        <v>579</v>
      </c>
      <c r="J63" s="17">
        <v>268</v>
      </c>
      <c r="K63" s="17">
        <v>123</v>
      </c>
      <c r="L63" s="17">
        <v>293</v>
      </c>
      <c r="M63" s="17">
        <v>274</v>
      </c>
      <c r="N63" s="17">
        <v>155</v>
      </c>
      <c r="O63" s="17">
        <v>6370</v>
      </c>
      <c r="P63" s="17">
        <v>1227</v>
      </c>
      <c r="Q63" s="17">
        <v>62</v>
      </c>
      <c r="R63" s="17">
        <v>0</v>
      </c>
      <c r="S63" s="17">
        <v>0</v>
      </c>
      <c r="T63" s="17">
        <v>13</v>
      </c>
      <c r="U63" s="17">
        <v>49</v>
      </c>
      <c r="V63" s="17">
        <v>6616</v>
      </c>
      <c r="W63" s="17">
        <v>647</v>
      </c>
      <c r="X63" s="17">
        <v>5468</v>
      </c>
      <c r="Y63" s="17">
        <v>155</v>
      </c>
      <c r="Z63" s="17">
        <v>1692</v>
      </c>
      <c r="AA63" s="17">
        <v>5709</v>
      </c>
      <c r="AB63" s="17">
        <v>255</v>
      </c>
      <c r="AC63" s="17">
        <v>907</v>
      </c>
      <c r="AD63" s="17">
        <v>392</v>
      </c>
      <c r="AE63" s="17">
        <v>241</v>
      </c>
      <c r="AF63" s="17">
        <v>100</v>
      </c>
      <c r="AG63" s="18">
        <v>9.7793228536880286E-2</v>
      </c>
      <c r="AH63" s="18">
        <v>4.2214047994394814E-2</v>
      </c>
      <c r="AI63" s="18">
        <v>0.86290810157194675</v>
      </c>
      <c r="AJ63" s="19">
        <v>5.0529747351263241E-2</v>
      </c>
      <c r="AK63" s="18">
        <v>0.82648125755743651</v>
      </c>
      <c r="AL63" s="18">
        <v>0.13709189842805319</v>
      </c>
      <c r="AM63" s="19">
        <v>0</v>
      </c>
      <c r="AN63" s="19">
        <v>0</v>
      </c>
      <c r="AO63" s="19">
        <v>1.0594947025264874E-2</v>
      </c>
      <c r="AP63" s="19">
        <v>3.9934800325998367E-2</v>
      </c>
      <c r="AQ63" s="20">
        <v>4.1365394316462079E-2</v>
      </c>
      <c r="AR63" s="20">
        <v>0.76544038668098824</v>
      </c>
      <c r="AS63" s="20">
        <v>0.79846938775510201</v>
      </c>
      <c r="AT63" s="20">
        <v>0.20153061224489796</v>
      </c>
      <c r="AU63" s="21" t="s">
        <v>268</v>
      </c>
      <c r="AV63" s="21" t="s">
        <v>107</v>
      </c>
    </row>
    <row r="64" spans="1:48" x14ac:dyDescent="0.35">
      <c r="A64" t="s">
        <v>184</v>
      </c>
      <c r="B64" t="s">
        <v>181</v>
      </c>
      <c r="C64" t="s">
        <v>183</v>
      </c>
      <c r="D64" s="17">
        <v>2707</v>
      </c>
      <c r="E64" s="17">
        <v>424</v>
      </c>
      <c r="F64" s="17">
        <v>2253</v>
      </c>
      <c r="G64" s="17">
        <v>75</v>
      </c>
      <c r="H64" s="17">
        <v>2880</v>
      </c>
      <c r="I64" s="17">
        <v>77</v>
      </c>
      <c r="J64" s="17">
        <v>31</v>
      </c>
      <c r="K64" s="17">
        <v>98</v>
      </c>
      <c r="L64" s="17">
        <v>16</v>
      </c>
      <c r="M64" s="17">
        <v>144</v>
      </c>
      <c r="N64" s="17">
        <v>0</v>
      </c>
      <c r="O64" s="17">
        <v>2514</v>
      </c>
      <c r="P64" s="17">
        <v>626</v>
      </c>
      <c r="Q64" s="17">
        <v>0</v>
      </c>
      <c r="R64" s="17">
        <v>0</v>
      </c>
      <c r="S64" s="17">
        <v>0</v>
      </c>
      <c r="T64" s="17">
        <v>0</v>
      </c>
      <c r="U64" s="17">
        <v>0</v>
      </c>
      <c r="V64" s="17">
        <v>2469</v>
      </c>
      <c r="W64" s="17">
        <v>88</v>
      </c>
      <c r="X64" s="17">
        <v>2105</v>
      </c>
      <c r="Y64" s="17">
        <v>44</v>
      </c>
      <c r="Z64" s="17">
        <v>366</v>
      </c>
      <c r="AA64" s="17">
        <v>2180</v>
      </c>
      <c r="AB64" s="17">
        <v>44</v>
      </c>
      <c r="AC64" s="17">
        <v>259</v>
      </c>
      <c r="AD64" s="17">
        <v>44</v>
      </c>
      <c r="AE64" s="17">
        <v>75</v>
      </c>
      <c r="AF64" s="17">
        <v>0</v>
      </c>
      <c r="AG64" s="18">
        <v>3.5641960307816932E-2</v>
      </c>
      <c r="AH64" s="18">
        <v>3.4403669724770644E-2</v>
      </c>
      <c r="AI64" s="18">
        <v>0.88294856217091944</v>
      </c>
      <c r="AJ64" s="19">
        <v>0</v>
      </c>
      <c r="AK64" s="18">
        <v>0.85257189145403001</v>
      </c>
      <c r="AL64" s="18">
        <v>0.10490076954232483</v>
      </c>
      <c r="AM64" s="19">
        <v>0</v>
      </c>
      <c r="AN64" s="19">
        <v>0</v>
      </c>
      <c r="AO64" s="19">
        <v>0</v>
      </c>
      <c r="AP64" s="19">
        <v>0</v>
      </c>
      <c r="AQ64" s="20">
        <v>3.3288948069241014E-2</v>
      </c>
      <c r="AR64" s="20">
        <v>0.80458071666050979</v>
      </c>
      <c r="AS64" s="20">
        <v>0.83228666420391573</v>
      </c>
      <c r="AT64" s="20">
        <v>0.15663095677872182</v>
      </c>
      <c r="AU64" s="21" t="s">
        <v>269</v>
      </c>
      <c r="AV64" s="21" t="s">
        <v>107</v>
      </c>
    </row>
    <row r="65" spans="1:48" x14ac:dyDescent="0.35">
      <c r="A65" t="s">
        <v>185</v>
      </c>
      <c r="B65" t="s">
        <v>181</v>
      </c>
      <c r="C65" t="s">
        <v>183</v>
      </c>
      <c r="D65" s="17">
        <v>3577</v>
      </c>
      <c r="E65" s="17">
        <v>763</v>
      </c>
      <c r="F65" s="17">
        <v>2814</v>
      </c>
      <c r="G65" s="17">
        <v>71</v>
      </c>
      <c r="H65" s="17">
        <v>4395</v>
      </c>
      <c r="I65" s="17">
        <v>66</v>
      </c>
      <c r="J65" s="17">
        <v>138</v>
      </c>
      <c r="K65" s="17">
        <v>26</v>
      </c>
      <c r="L65" s="17">
        <v>12</v>
      </c>
      <c r="M65" s="17">
        <v>48</v>
      </c>
      <c r="N65" s="17">
        <v>0</v>
      </c>
      <c r="O65" s="17">
        <v>4105</v>
      </c>
      <c r="P65" s="17">
        <v>1051</v>
      </c>
      <c r="Q65" s="17">
        <v>41</v>
      </c>
      <c r="R65" s="17">
        <v>13</v>
      </c>
      <c r="S65" s="17">
        <v>0</v>
      </c>
      <c r="T65" s="17">
        <v>28</v>
      </c>
      <c r="U65" s="17">
        <v>0</v>
      </c>
      <c r="V65" s="17">
        <v>2993</v>
      </c>
      <c r="W65" s="17">
        <v>130</v>
      </c>
      <c r="X65" s="17">
        <v>2501</v>
      </c>
      <c r="Y65" s="17">
        <v>8</v>
      </c>
      <c r="Z65" s="17">
        <v>290</v>
      </c>
      <c r="AA65" s="17">
        <v>2543</v>
      </c>
      <c r="AB65" s="17">
        <v>24</v>
      </c>
      <c r="AC65" s="17">
        <v>450</v>
      </c>
      <c r="AD65" s="17">
        <v>106</v>
      </c>
      <c r="AE65" s="17">
        <v>42</v>
      </c>
      <c r="AF65" s="17">
        <v>16</v>
      </c>
      <c r="AG65" s="18">
        <v>4.3434680922151685E-2</v>
      </c>
      <c r="AH65" s="18">
        <v>1.6515926071569011E-2</v>
      </c>
      <c r="AI65" s="18">
        <v>0.84964918142332113</v>
      </c>
      <c r="AJ65" s="19">
        <v>3.9010466222645097E-2</v>
      </c>
      <c r="AK65" s="18">
        <v>0.83561643835616439</v>
      </c>
      <c r="AL65" s="18">
        <v>0.15035081857667892</v>
      </c>
      <c r="AM65" s="19">
        <v>1.2369172216936251E-2</v>
      </c>
      <c r="AN65" s="19">
        <v>0</v>
      </c>
      <c r="AO65" s="19">
        <v>2.6641294005708849E-2</v>
      </c>
      <c r="AP65" s="19">
        <v>0</v>
      </c>
      <c r="AQ65" s="20">
        <v>2.523098791755508E-2</v>
      </c>
      <c r="AR65" s="20">
        <v>0.76684372379088617</v>
      </c>
      <c r="AS65" s="20">
        <v>0.78669275929549898</v>
      </c>
      <c r="AT65" s="20">
        <v>0.21330724070450097</v>
      </c>
      <c r="AU65" s="21" t="s">
        <v>270</v>
      </c>
      <c r="AV65" s="21" t="s">
        <v>107</v>
      </c>
    </row>
    <row r="66" spans="1:48" x14ac:dyDescent="0.35">
      <c r="A66" t="s">
        <v>186</v>
      </c>
      <c r="B66" t="s">
        <v>181</v>
      </c>
      <c r="C66" t="s">
        <v>183</v>
      </c>
      <c r="D66" s="17">
        <v>4684</v>
      </c>
      <c r="E66" s="17">
        <v>1137</v>
      </c>
      <c r="F66" s="17">
        <v>3522</v>
      </c>
      <c r="G66" s="17">
        <v>36</v>
      </c>
      <c r="H66" s="17">
        <v>4974</v>
      </c>
      <c r="I66" s="17">
        <v>174</v>
      </c>
      <c r="J66" s="17">
        <v>220</v>
      </c>
      <c r="K66" s="17">
        <v>78</v>
      </c>
      <c r="L66" s="17">
        <v>32</v>
      </c>
      <c r="M66" s="17">
        <v>163</v>
      </c>
      <c r="N66" s="17">
        <v>20</v>
      </c>
      <c r="O66" s="17">
        <v>4287</v>
      </c>
      <c r="P66" s="17">
        <v>949</v>
      </c>
      <c r="Q66" s="17">
        <v>28</v>
      </c>
      <c r="R66" s="17">
        <v>0</v>
      </c>
      <c r="S66" s="17">
        <v>28</v>
      </c>
      <c r="T66" s="17">
        <v>0</v>
      </c>
      <c r="U66" s="17">
        <v>0</v>
      </c>
      <c r="V66" s="17">
        <v>3860</v>
      </c>
      <c r="W66" s="17">
        <v>351</v>
      </c>
      <c r="X66" s="17">
        <v>3238</v>
      </c>
      <c r="Y66" s="17">
        <v>46</v>
      </c>
      <c r="Z66" s="17">
        <v>687</v>
      </c>
      <c r="AA66" s="17">
        <v>3274</v>
      </c>
      <c r="AB66" s="17">
        <v>47</v>
      </c>
      <c r="AC66" s="17">
        <v>561</v>
      </c>
      <c r="AD66" s="17">
        <v>304</v>
      </c>
      <c r="AE66" s="17">
        <v>36</v>
      </c>
      <c r="AF66" s="17">
        <v>1</v>
      </c>
      <c r="AG66" s="18">
        <v>9.0932642487046633E-2</v>
      </c>
      <c r="AH66" s="18">
        <v>1.0995723885155772E-2</v>
      </c>
      <c r="AI66" s="18">
        <v>0.84818652849740928</v>
      </c>
      <c r="AJ66" s="19">
        <v>2.9504741833508957E-2</v>
      </c>
      <c r="AK66" s="18">
        <v>0.83886010362694297</v>
      </c>
      <c r="AL66" s="18">
        <v>0.14533678756476684</v>
      </c>
      <c r="AM66" s="19">
        <v>0</v>
      </c>
      <c r="AN66" s="19">
        <v>2.9504741833508957E-2</v>
      </c>
      <c r="AO66" s="19">
        <v>0</v>
      </c>
      <c r="AP66" s="19">
        <v>0</v>
      </c>
      <c r="AQ66" s="20">
        <v>1.0221465076660987E-2</v>
      </c>
      <c r="AR66" s="20">
        <v>0.74423569598633643</v>
      </c>
      <c r="AS66" s="20">
        <v>0.75192143467122119</v>
      </c>
      <c r="AT66" s="20">
        <v>0.24274124679760889</v>
      </c>
      <c r="AU66" s="21" t="s">
        <v>271</v>
      </c>
      <c r="AV66" s="21" t="s">
        <v>107</v>
      </c>
    </row>
    <row r="67" spans="1:48" x14ac:dyDescent="0.35">
      <c r="A67" t="s">
        <v>187</v>
      </c>
      <c r="B67" t="s">
        <v>181</v>
      </c>
      <c r="C67" t="s">
        <v>183</v>
      </c>
      <c r="D67" s="17">
        <v>5663</v>
      </c>
      <c r="E67" s="17">
        <v>892</v>
      </c>
      <c r="F67" s="17">
        <v>4771</v>
      </c>
      <c r="G67" s="17">
        <v>280</v>
      </c>
      <c r="H67" s="17">
        <v>5852</v>
      </c>
      <c r="I67" s="17">
        <v>257</v>
      </c>
      <c r="J67" s="17">
        <v>404</v>
      </c>
      <c r="K67" s="17">
        <v>35</v>
      </c>
      <c r="L67" s="17">
        <v>106</v>
      </c>
      <c r="M67" s="17">
        <v>112</v>
      </c>
      <c r="N67" s="17">
        <v>18</v>
      </c>
      <c r="O67" s="17">
        <v>4920</v>
      </c>
      <c r="P67" s="17">
        <v>954</v>
      </c>
      <c r="Q67" s="17">
        <v>34</v>
      </c>
      <c r="R67" s="17">
        <v>17</v>
      </c>
      <c r="S67" s="17">
        <v>0</v>
      </c>
      <c r="T67" s="17">
        <v>17</v>
      </c>
      <c r="U67" s="17">
        <v>0</v>
      </c>
      <c r="V67" s="17">
        <v>5081</v>
      </c>
      <c r="W67" s="17">
        <v>571</v>
      </c>
      <c r="X67" s="17">
        <v>4317</v>
      </c>
      <c r="Y67" s="17">
        <v>285</v>
      </c>
      <c r="Z67" s="17">
        <v>932</v>
      </c>
      <c r="AA67" s="17">
        <v>4597</v>
      </c>
      <c r="AB67" s="17">
        <v>402</v>
      </c>
      <c r="AC67" s="17">
        <v>484</v>
      </c>
      <c r="AD67" s="17">
        <v>169</v>
      </c>
      <c r="AE67" s="17">
        <v>280</v>
      </c>
      <c r="AF67" s="17">
        <v>117</v>
      </c>
      <c r="AG67" s="18">
        <v>0.11237945286360952</v>
      </c>
      <c r="AH67" s="18">
        <v>6.0909288666521642E-2</v>
      </c>
      <c r="AI67" s="18">
        <v>0.90474316079511907</v>
      </c>
      <c r="AJ67" s="19">
        <v>3.5639412997903561E-2</v>
      </c>
      <c r="AK67" s="18">
        <v>0.84963589844518794</v>
      </c>
      <c r="AL67" s="18">
        <v>9.5256839204880928E-2</v>
      </c>
      <c r="AM67" s="19">
        <v>1.781970649895178E-2</v>
      </c>
      <c r="AN67" s="19">
        <v>0</v>
      </c>
      <c r="AO67" s="19">
        <v>1.781970649895178E-2</v>
      </c>
      <c r="AP67" s="19">
        <v>0</v>
      </c>
      <c r="AQ67" s="20">
        <v>5.8687906099350241E-2</v>
      </c>
      <c r="AR67" s="20">
        <v>0.79304255694861381</v>
      </c>
      <c r="AS67" s="20">
        <v>0.84248631467420099</v>
      </c>
      <c r="AT67" s="20">
        <v>0.15751368532579904</v>
      </c>
      <c r="AU67" s="21" t="s">
        <v>272</v>
      </c>
      <c r="AV67" s="21" t="s">
        <v>107</v>
      </c>
    </row>
    <row r="68" spans="1:48" x14ac:dyDescent="0.35">
      <c r="A68" t="s">
        <v>188</v>
      </c>
      <c r="B68" t="s">
        <v>181</v>
      </c>
      <c r="C68" t="s">
        <v>183</v>
      </c>
      <c r="D68" s="17">
        <v>15043</v>
      </c>
      <c r="E68" s="17">
        <v>4341</v>
      </c>
      <c r="F68" s="17">
        <v>10652</v>
      </c>
      <c r="G68" s="17">
        <v>593</v>
      </c>
      <c r="H68" s="17">
        <v>16424</v>
      </c>
      <c r="I68" s="17">
        <v>1652</v>
      </c>
      <c r="J68" s="17">
        <v>1088</v>
      </c>
      <c r="K68" s="17">
        <v>811</v>
      </c>
      <c r="L68" s="17">
        <v>357</v>
      </c>
      <c r="M68" s="17">
        <v>628</v>
      </c>
      <c r="N68" s="17">
        <v>310</v>
      </c>
      <c r="O68" s="17">
        <v>11578</v>
      </c>
      <c r="P68" s="17">
        <v>3319</v>
      </c>
      <c r="Q68" s="17">
        <v>401</v>
      </c>
      <c r="R68" s="17">
        <v>0</v>
      </c>
      <c r="S68" s="17">
        <v>144</v>
      </c>
      <c r="T68" s="17">
        <v>244</v>
      </c>
      <c r="U68" s="17">
        <v>13</v>
      </c>
      <c r="V68" s="17">
        <v>11915</v>
      </c>
      <c r="W68" s="17">
        <v>1440</v>
      </c>
      <c r="X68" s="17">
        <v>9536</v>
      </c>
      <c r="Y68" s="17">
        <v>546</v>
      </c>
      <c r="Z68" s="17">
        <v>4846</v>
      </c>
      <c r="AA68" s="17">
        <v>10108</v>
      </c>
      <c r="AB68" s="17">
        <v>769</v>
      </c>
      <c r="AC68" s="17">
        <v>1757</v>
      </c>
      <c r="AD68" s="17">
        <v>671</v>
      </c>
      <c r="AE68" s="17">
        <v>572</v>
      </c>
      <c r="AF68" s="17">
        <v>223</v>
      </c>
      <c r="AG68" s="18">
        <v>0.12085606378514478</v>
      </c>
      <c r="AH68" s="18">
        <v>5.6588840522358526E-2</v>
      </c>
      <c r="AI68" s="18">
        <v>0.84834242551405792</v>
      </c>
      <c r="AJ68" s="19">
        <v>0.12081952395299789</v>
      </c>
      <c r="AK68" s="18">
        <v>0.80033571128829206</v>
      </c>
      <c r="AL68" s="18">
        <v>0.14746118338229122</v>
      </c>
      <c r="AM68" s="19">
        <v>0</v>
      </c>
      <c r="AN68" s="19">
        <v>4.3386562217535403E-2</v>
      </c>
      <c r="AO68" s="19">
        <v>7.3516119313046094E-2</v>
      </c>
      <c r="AP68" s="19">
        <v>3.9168424224163903E-3</v>
      </c>
      <c r="AQ68" s="20">
        <v>5.5670296657904621E-2</v>
      </c>
      <c r="AR68" s="20">
        <v>0.6686831084225221</v>
      </c>
      <c r="AS68" s="20">
        <v>0.70810343681446519</v>
      </c>
      <c r="AT68" s="20">
        <v>0.28857275809346539</v>
      </c>
      <c r="AU68" s="21" t="s">
        <v>273</v>
      </c>
      <c r="AV68" s="21" t="s">
        <v>107</v>
      </c>
    </row>
    <row r="69" spans="1:48" x14ac:dyDescent="0.35">
      <c r="A69" t="s">
        <v>189</v>
      </c>
      <c r="B69" t="s">
        <v>181</v>
      </c>
      <c r="C69" t="s">
        <v>183</v>
      </c>
      <c r="D69" s="17">
        <v>6320</v>
      </c>
      <c r="E69" s="17">
        <v>1462</v>
      </c>
      <c r="F69" s="17">
        <v>4858</v>
      </c>
      <c r="G69" s="17">
        <v>145</v>
      </c>
      <c r="H69" s="17">
        <v>6966</v>
      </c>
      <c r="I69" s="17">
        <v>284</v>
      </c>
      <c r="J69" s="17">
        <v>501</v>
      </c>
      <c r="K69" s="17">
        <v>176</v>
      </c>
      <c r="L69" s="17">
        <v>141</v>
      </c>
      <c r="M69" s="17">
        <v>222</v>
      </c>
      <c r="N69" s="17">
        <v>127</v>
      </c>
      <c r="O69" s="17">
        <v>5515</v>
      </c>
      <c r="P69" s="17">
        <v>1622</v>
      </c>
      <c r="Q69" s="17">
        <v>184</v>
      </c>
      <c r="R69" s="17">
        <v>43</v>
      </c>
      <c r="S69" s="17">
        <v>100</v>
      </c>
      <c r="T69" s="17">
        <v>41</v>
      </c>
      <c r="U69" s="17">
        <v>0</v>
      </c>
      <c r="V69" s="17">
        <v>5272</v>
      </c>
      <c r="W69" s="17">
        <v>412</v>
      </c>
      <c r="X69" s="17">
        <v>4491</v>
      </c>
      <c r="Y69" s="17">
        <v>260</v>
      </c>
      <c r="Z69" s="17">
        <v>1451</v>
      </c>
      <c r="AA69" s="17">
        <v>4604</v>
      </c>
      <c r="AB69" s="17">
        <v>283</v>
      </c>
      <c r="AC69" s="17">
        <v>668</v>
      </c>
      <c r="AD69" s="17">
        <v>129</v>
      </c>
      <c r="AE69" s="17">
        <v>113</v>
      </c>
      <c r="AF69" s="17">
        <v>23</v>
      </c>
      <c r="AG69" s="18">
        <v>7.8148710166919572E-2</v>
      </c>
      <c r="AH69" s="18">
        <v>2.4543874891398785E-2</v>
      </c>
      <c r="AI69" s="18">
        <v>0.87329286798179062</v>
      </c>
      <c r="AJ69" s="19">
        <v>0.11344019728729964</v>
      </c>
      <c r="AK69" s="18">
        <v>0.85185887708649466</v>
      </c>
      <c r="AL69" s="18">
        <v>0.12670713201820941</v>
      </c>
      <c r="AM69" s="19">
        <v>2.6510480887792849E-2</v>
      </c>
      <c r="AN69" s="19">
        <v>6.1652281134401972E-2</v>
      </c>
      <c r="AO69" s="19">
        <v>2.5277435265104811E-2</v>
      </c>
      <c r="AP69" s="19">
        <v>0</v>
      </c>
      <c r="AQ69" s="20">
        <v>2.984767393989296E-2</v>
      </c>
      <c r="AR69" s="20">
        <v>0.7457278481012658</v>
      </c>
      <c r="AS69" s="20">
        <v>0.76867088607594936</v>
      </c>
      <c r="AT69" s="20">
        <v>0.23132911392405064</v>
      </c>
      <c r="AU69" s="21" t="s">
        <v>274</v>
      </c>
      <c r="AV69" s="21" t="s">
        <v>107</v>
      </c>
    </row>
    <row r="70" spans="1:48" x14ac:dyDescent="0.35">
      <c r="A70" t="s">
        <v>160</v>
      </c>
      <c r="B70" t="s">
        <v>181</v>
      </c>
      <c r="C70" t="s">
        <v>183</v>
      </c>
      <c r="D70" s="17">
        <v>6515</v>
      </c>
      <c r="E70" s="17">
        <v>1758</v>
      </c>
      <c r="F70" s="17">
        <v>4757</v>
      </c>
      <c r="G70" s="17">
        <v>96</v>
      </c>
      <c r="H70" s="17">
        <v>8214</v>
      </c>
      <c r="I70" s="17">
        <v>628</v>
      </c>
      <c r="J70" s="17">
        <v>1310</v>
      </c>
      <c r="K70" s="17">
        <v>467</v>
      </c>
      <c r="L70" s="17">
        <v>106</v>
      </c>
      <c r="M70" s="17">
        <v>21</v>
      </c>
      <c r="N70" s="17">
        <v>34</v>
      </c>
      <c r="O70" s="17">
        <v>5648</v>
      </c>
      <c r="P70" s="17">
        <v>1793</v>
      </c>
      <c r="Q70" s="17">
        <v>277</v>
      </c>
      <c r="R70" s="17">
        <v>39</v>
      </c>
      <c r="S70" s="17">
        <v>0</v>
      </c>
      <c r="T70" s="17">
        <v>119</v>
      </c>
      <c r="U70" s="17">
        <v>119</v>
      </c>
      <c r="V70" s="17">
        <v>5501</v>
      </c>
      <c r="W70" s="17">
        <v>845</v>
      </c>
      <c r="X70" s="17">
        <v>4495</v>
      </c>
      <c r="Y70" s="17">
        <v>337</v>
      </c>
      <c r="Z70" s="17">
        <v>2566</v>
      </c>
      <c r="AA70" s="17">
        <v>4566</v>
      </c>
      <c r="AB70" s="17">
        <v>361</v>
      </c>
      <c r="AC70" s="17">
        <v>935</v>
      </c>
      <c r="AD70" s="17">
        <v>484</v>
      </c>
      <c r="AE70" s="17">
        <v>71</v>
      </c>
      <c r="AF70" s="17">
        <v>24</v>
      </c>
      <c r="AG70" s="18">
        <v>0.15360843483003089</v>
      </c>
      <c r="AH70" s="18">
        <v>1.5549715286903198E-2</v>
      </c>
      <c r="AI70" s="18">
        <v>0.83003090347209596</v>
      </c>
      <c r="AJ70" s="19">
        <v>0.15448968209704406</v>
      </c>
      <c r="AK70" s="18">
        <v>0.81712415924377391</v>
      </c>
      <c r="AL70" s="18">
        <v>0.16996909652790401</v>
      </c>
      <c r="AM70" s="19">
        <v>2.1751254880089235E-2</v>
      </c>
      <c r="AN70" s="19">
        <v>0</v>
      </c>
      <c r="AO70" s="19">
        <v>6.6369213608477418E-2</v>
      </c>
      <c r="AP70" s="19">
        <v>6.6369213608477418E-2</v>
      </c>
      <c r="AQ70" s="20">
        <v>2.0180786209796089E-2</v>
      </c>
      <c r="AR70" s="20">
        <v>0.71542594013814276</v>
      </c>
      <c r="AS70" s="20">
        <v>0.73016116653875673</v>
      </c>
      <c r="AT70" s="20">
        <v>0.26983883346124327</v>
      </c>
      <c r="AU70" s="21" t="s">
        <v>275</v>
      </c>
      <c r="AV70" s="21" t="s">
        <v>107</v>
      </c>
    </row>
    <row r="71" spans="1:48" x14ac:dyDescent="0.35">
      <c r="A71" t="s">
        <v>190</v>
      </c>
      <c r="B71" t="s">
        <v>181</v>
      </c>
      <c r="C71" t="s">
        <v>183</v>
      </c>
      <c r="D71" s="17">
        <v>2277</v>
      </c>
      <c r="E71" s="17">
        <v>771</v>
      </c>
      <c r="F71" s="17">
        <v>1506</v>
      </c>
      <c r="G71" s="17">
        <v>144</v>
      </c>
      <c r="H71" s="17">
        <v>2742</v>
      </c>
      <c r="I71" s="17">
        <v>28</v>
      </c>
      <c r="J71" s="17">
        <v>44</v>
      </c>
      <c r="K71" s="17">
        <v>133</v>
      </c>
      <c r="L71" s="17">
        <v>69</v>
      </c>
      <c r="M71" s="17">
        <v>99</v>
      </c>
      <c r="N71" s="17">
        <v>155</v>
      </c>
      <c r="O71" s="17">
        <v>2214</v>
      </c>
      <c r="P71" s="17">
        <v>648</v>
      </c>
      <c r="Q71" s="17">
        <v>8</v>
      </c>
      <c r="R71" s="17">
        <v>0</v>
      </c>
      <c r="S71" s="17">
        <v>0</v>
      </c>
      <c r="T71" s="17">
        <v>8</v>
      </c>
      <c r="U71" s="17">
        <v>0</v>
      </c>
      <c r="V71" s="17">
        <v>1595</v>
      </c>
      <c r="W71" s="17">
        <v>40</v>
      </c>
      <c r="X71" s="17">
        <v>1242</v>
      </c>
      <c r="Y71" s="17">
        <v>34</v>
      </c>
      <c r="Z71" s="17">
        <v>528</v>
      </c>
      <c r="AA71" s="17">
        <v>1386</v>
      </c>
      <c r="AB71" s="17">
        <v>38</v>
      </c>
      <c r="AC71" s="17">
        <v>209</v>
      </c>
      <c r="AD71" s="17">
        <v>2</v>
      </c>
      <c r="AE71" s="17">
        <v>144</v>
      </c>
      <c r="AF71" s="17">
        <v>4</v>
      </c>
      <c r="AG71" s="18">
        <v>2.5078369905956112E-2</v>
      </c>
      <c r="AH71" s="18">
        <v>0.1038961038961039</v>
      </c>
      <c r="AI71" s="18">
        <v>0.86896551724137927</v>
      </c>
      <c r="AJ71" s="19">
        <v>1.2345679012345678E-2</v>
      </c>
      <c r="AK71" s="18">
        <v>0.77868338557993733</v>
      </c>
      <c r="AL71" s="18">
        <v>0.1310344827586207</v>
      </c>
      <c r="AM71" s="19">
        <v>0</v>
      </c>
      <c r="AN71" s="19">
        <v>0</v>
      </c>
      <c r="AO71" s="19">
        <v>1.2345679012345678E-2</v>
      </c>
      <c r="AP71" s="19">
        <v>0</v>
      </c>
      <c r="AQ71" s="20">
        <v>9.5617529880478086E-2</v>
      </c>
      <c r="AR71" s="20">
        <v>0.59815546772068506</v>
      </c>
      <c r="AS71" s="20">
        <v>0.66139657444005273</v>
      </c>
      <c r="AT71" s="20">
        <v>0.33860342555994732</v>
      </c>
      <c r="AU71" s="21" t="s">
        <v>276</v>
      </c>
      <c r="AV71" s="21" t="s">
        <v>107</v>
      </c>
    </row>
    <row r="72" spans="1:48" x14ac:dyDescent="0.35">
      <c r="A72" t="s">
        <v>191</v>
      </c>
      <c r="B72" t="s">
        <v>181</v>
      </c>
      <c r="C72" t="s">
        <v>192</v>
      </c>
      <c r="D72" s="17">
        <v>5862</v>
      </c>
      <c r="E72" s="17">
        <v>1867</v>
      </c>
      <c r="F72" s="17">
        <v>3995</v>
      </c>
      <c r="G72" s="17">
        <v>270</v>
      </c>
      <c r="H72" s="17">
        <v>6922</v>
      </c>
      <c r="I72" s="17">
        <v>376</v>
      </c>
      <c r="J72" s="17">
        <v>747</v>
      </c>
      <c r="K72" s="17">
        <v>83</v>
      </c>
      <c r="L72" s="17">
        <v>166</v>
      </c>
      <c r="M72" s="17">
        <v>701</v>
      </c>
      <c r="N72" s="17">
        <v>44</v>
      </c>
      <c r="O72" s="17">
        <v>4805</v>
      </c>
      <c r="P72" s="17">
        <v>1484</v>
      </c>
      <c r="Q72" s="17">
        <v>186</v>
      </c>
      <c r="R72" s="17">
        <v>51</v>
      </c>
      <c r="S72" s="17">
        <v>31</v>
      </c>
      <c r="T72" s="17">
        <v>81</v>
      </c>
      <c r="U72" s="17">
        <v>23</v>
      </c>
      <c r="V72" s="17">
        <v>4380</v>
      </c>
      <c r="W72" s="17">
        <v>520</v>
      </c>
      <c r="X72" s="17">
        <v>3430</v>
      </c>
      <c r="Y72" s="17">
        <v>220</v>
      </c>
      <c r="Z72" s="17">
        <v>2117</v>
      </c>
      <c r="AA72" s="17">
        <v>3700</v>
      </c>
      <c r="AB72" s="17">
        <v>296</v>
      </c>
      <c r="AC72" s="17">
        <v>680</v>
      </c>
      <c r="AD72" s="17">
        <v>224</v>
      </c>
      <c r="AE72" s="17">
        <v>270</v>
      </c>
      <c r="AF72" s="17">
        <v>76</v>
      </c>
      <c r="AG72" s="18">
        <v>0.11872146118721461</v>
      </c>
      <c r="AH72" s="18">
        <v>7.2972972972972977E-2</v>
      </c>
      <c r="AI72" s="18">
        <v>0.84474885844748859</v>
      </c>
      <c r="AJ72" s="19">
        <v>0.12533692722371967</v>
      </c>
      <c r="AK72" s="18">
        <v>0.78310502283105021</v>
      </c>
      <c r="AL72" s="18">
        <v>0.15525114155251141</v>
      </c>
      <c r="AM72" s="19">
        <v>3.436657681940701E-2</v>
      </c>
      <c r="AN72" s="19">
        <v>2.0889487870619946E-2</v>
      </c>
      <c r="AO72" s="19">
        <v>5.4582210242587602E-2</v>
      </c>
      <c r="AP72" s="19">
        <v>1.5498652291105121E-2</v>
      </c>
      <c r="AQ72" s="20">
        <v>6.7584480600750937E-2</v>
      </c>
      <c r="AR72" s="20">
        <v>0.63544865233708636</v>
      </c>
      <c r="AS72" s="20">
        <v>0.68150801774138514</v>
      </c>
      <c r="AT72" s="20">
        <v>0.3184919822586148</v>
      </c>
      <c r="AU72" s="21" t="s">
        <v>277</v>
      </c>
      <c r="AV72" s="21" t="s">
        <v>107</v>
      </c>
    </row>
    <row r="73" spans="1:48" x14ac:dyDescent="0.35">
      <c r="A73" t="s">
        <v>193</v>
      </c>
      <c r="B73" t="s">
        <v>181</v>
      </c>
      <c r="C73" t="s">
        <v>183</v>
      </c>
      <c r="D73" s="17">
        <v>11987</v>
      </c>
      <c r="E73" s="17">
        <v>4228</v>
      </c>
      <c r="F73" s="17">
        <v>7752</v>
      </c>
      <c r="G73" s="17">
        <v>281</v>
      </c>
      <c r="H73" s="17">
        <v>14316</v>
      </c>
      <c r="I73" s="17">
        <v>802</v>
      </c>
      <c r="J73" s="17">
        <v>1936</v>
      </c>
      <c r="K73" s="17">
        <v>814</v>
      </c>
      <c r="L73" s="17">
        <v>589</v>
      </c>
      <c r="M73" s="17">
        <v>729</v>
      </c>
      <c r="N73" s="17">
        <v>357</v>
      </c>
      <c r="O73" s="17">
        <v>9089</v>
      </c>
      <c r="P73" s="17">
        <v>3031</v>
      </c>
      <c r="Q73" s="17">
        <v>377</v>
      </c>
      <c r="R73" s="17">
        <v>162</v>
      </c>
      <c r="S73" s="17">
        <v>111</v>
      </c>
      <c r="T73" s="17">
        <v>62</v>
      </c>
      <c r="U73" s="17">
        <v>42</v>
      </c>
      <c r="V73" s="17">
        <v>9200</v>
      </c>
      <c r="W73" s="17">
        <v>1305</v>
      </c>
      <c r="X73" s="17">
        <v>7007</v>
      </c>
      <c r="Y73" s="17">
        <v>377</v>
      </c>
      <c r="Z73" s="17">
        <v>5227</v>
      </c>
      <c r="AA73" s="17">
        <v>7234</v>
      </c>
      <c r="AB73" s="17">
        <v>439</v>
      </c>
      <c r="AC73" s="17">
        <v>1959</v>
      </c>
      <c r="AD73" s="17">
        <v>866</v>
      </c>
      <c r="AE73" s="17">
        <v>227</v>
      </c>
      <c r="AF73" s="17">
        <v>62</v>
      </c>
      <c r="AG73" s="18">
        <v>0.14184782608695654</v>
      </c>
      <c r="AH73" s="18">
        <v>3.1379596350566766E-2</v>
      </c>
      <c r="AI73" s="18">
        <v>0.78630434782608694</v>
      </c>
      <c r="AJ73" s="19">
        <v>0.12438139227977565</v>
      </c>
      <c r="AK73" s="18">
        <v>0.76163043478260872</v>
      </c>
      <c r="AL73" s="18">
        <v>0.21293478260869564</v>
      </c>
      <c r="AM73" s="19">
        <v>5.3447707027383703E-2</v>
      </c>
      <c r="AN73" s="19">
        <v>3.6621577037281423E-2</v>
      </c>
      <c r="AO73" s="19">
        <v>2.0455295282085121E-2</v>
      </c>
      <c r="AP73" s="19">
        <v>1.3856812933025405E-2</v>
      </c>
      <c r="AQ73" s="20">
        <v>3.6248710010319915E-2</v>
      </c>
      <c r="AR73" s="20">
        <v>0.62325853007424714</v>
      </c>
      <c r="AS73" s="20">
        <v>0.64670059230833399</v>
      </c>
      <c r="AT73" s="20">
        <v>0.35271544172853925</v>
      </c>
      <c r="AU73" s="21" t="s">
        <v>278</v>
      </c>
      <c r="AV73" s="21" t="s">
        <v>107</v>
      </c>
    </row>
    <row r="74" spans="1:48" x14ac:dyDescent="0.35">
      <c r="A74" t="s">
        <v>194</v>
      </c>
      <c r="B74" t="s">
        <v>181</v>
      </c>
      <c r="C74" t="s">
        <v>183</v>
      </c>
      <c r="D74" s="17">
        <v>5235</v>
      </c>
      <c r="E74" s="17">
        <v>1045</v>
      </c>
      <c r="F74" s="17">
        <v>4190</v>
      </c>
      <c r="G74" s="17">
        <v>176</v>
      </c>
      <c r="H74" s="17">
        <v>6127</v>
      </c>
      <c r="I74" s="17">
        <v>55</v>
      </c>
      <c r="J74" s="17">
        <v>168</v>
      </c>
      <c r="K74" s="17">
        <v>186</v>
      </c>
      <c r="L74" s="17">
        <v>114</v>
      </c>
      <c r="M74" s="17">
        <v>126</v>
      </c>
      <c r="N74" s="17">
        <v>111</v>
      </c>
      <c r="O74" s="17">
        <v>5367</v>
      </c>
      <c r="P74" s="17">
        <v>1519</v>
      </c>
      <c r="Q74" s="17">
        <v>19</v>
      </c>
      <c r="R74" s="17">
        <v>0</v>
      </c>
      <c r="S74" s="17">
        <v>0</v>
      </c>
      <c r="T74" s="17">
        <v>0</v>
      </c>
      <c r="U74" s="17">
        <v>19</v>
      </c>
      <c r="V74" s="17">
        <v>4252</v>
      </c>
      <c r="W74" s="17">
        <v>149</v>
      </c>
      <c r="X74" s="17">
        <v>3857</v>
      </c>
      <c r="Y74" s="17">
        <v>69</v>
      </c>
      <c r="Z74" s="17">
        <v>760</v>
      </c>
      <c r="AA74" s="17">
        <v>3953</v>
      </c>
      <c r="AB74" s="17">
        <v>99</v>
      </c>
      <c r="AC74" s="17">
        <v>299</v>
      </c>
      <c r="AD74" s="17">
        <v>50</v>
      </c>
      <c r="AE74" s="17">
        <v>96</v>
      </c>
      <c r="AF74" s="17">
        <v>30</v>
      </c>
      <c r="AG74" s="18">
        <v>3.5042333019755408E-2</v>
      </c>
      <c r="AH74" s="18">
        <v>2.4285352896534277E-2</v>
      </c>
      <c r="AI74" s="18">
        <v>0.9296801505174036</v>
      </c>
      <c r="AJ74" s="19">
        <v>1.2508229098090849E-2</v>
      </c>
      <c r="AK74" s="18">
        <v>0.90710253998118529</v>
      </c>
      <c r="AL74" s="18">
        <v>7.0319849482596425E-2</v>
      </c>
      <c r="AM74" s="19">
        <v>0</v>
      </c>
      <c r="AN74" s="19">
        <v>0</v>
      </c>
      <c r="AO74" s="19">
        <v>0</v>
      </c>
      <c r="AP74" s="19">
        <v>1.2508229098090849E-2</v>
      </c>
      <c r="AQ74" s="20">
        <v>4.2004773269689738E-2</v>
      </c>
      <c r="AR74" s="20">
        <v>0.76676217765042975</v>
      </c>
      <c r="AS74" s="20">
        <v>0.80038204393505252</v>
      </c>
      <c r="AT74" s="20">
        <v>0.19961795606494748</v>
      </c>
      <c r="AU74" s="21" t="s">
        <v>279</v>
      </c>
      <c r="AV74" s="21" t="s">
        <v>107</v>
      </c>
    </row>
    <row r="75" spans="1:48" x14ac:dyDescent="0.35">
      <c r="A75" t="s">
        <v>151</v>
      </c>
      <c r="B75" t="s">
        <v>181</v>
      </c>
      <c r="C75" t="s">
        <v>183</v>
      </c>
      <c r="D75" s="17">
        <v>3281</v>
      </c>
      <c r="E75" s="17">
        <v>793</v>
      </c>
      <c r="F75" s="17">
        <v>2401</v>
      </c>
      <c r="G75" s="17">
        <v>160</v>
      </c>
      <c r="H75" s="17">
        <v>4003</v>
      </c>
      <c r="I75" s="17">
        <v>323</v>
      </c>
      <c r="J75" s="17">
        <v>558</v>
      </c>
      <c r="K75" s="17">
        <v>198</v>
      </c>
      <c r="L75" s="17">
        <v>362</v>
      </c>
      <c r="M75" s="17">
        <v>172</v>
      </c>
      <c r="N75" s="17">
        <v>9</v>
      </c>
      <c r="O75" s="17">
        <v>2381</v>
      </c>
      <c r="P75" s="17">
        <v>900</v>
      </c>
      <c r="Q75" s="17">
        <v>162</v>
      </c>
      <c r="R75" s="17">
        <v>52</v>
      </c>
      <c r="S75" s="17">
        <v>0</v>
      </c>
      <c r="T75" s="17">
        <v>101</v>
      </c>
      <c r="U75" s="17">
        <v>9</v>
      </c>
      <c r="V75" s="17">
        <v>2651</v>
      </c>
      <c r="W75" s="17">
        <v>470</v>
      </c>
      <c r="X75" s="17">
        <v>2062</v>
      </c>
      <c r="Y75" s="17">
        <v>205</v>
      </c>
      <c r="Z75" s="17">
        <v>1622</v>
      </c>
      <c r="AA75" s="17">
        <v>2222</v>
      </c>
      <c r="AB75" s="17">
        <v>255</v>
      </c>
      <c r="AC75" s="17">
        <v>342</v>
      </c>
      <c r="AD75" s="17">
        <v>215</v>
      </c>
      <c r="AE75" s="17">
        <v>160</v>
      </c>
      <c r="AF75" s="17">
        <v>50</v>
      </c>
      <c r="AG75" s="18">
        <v>0.17729158807996984</v>
      </c>
      <c r="AH75" s="18">
        <v>7.2007200720072009E-2</v>
      </c>
      <c r="AI75" s="18">
        <v>0.83817427385892118</v>
      </c>
      <c r="AJ75" s="19">
        <v>0.18</v>
      </c>
      <c r="AK75" s="18">
        <v>0.77781969068276124</v>
      </c>
      <c r="AL75" s="18">
        <v>0.12900792153904186</v>
      </c>
      <c r="AM75" s="19">
        <v>5.7777777777777775E-2</v>
      </c>
      <c r="AN75" s="19">
        <v>0</v>
      </c>
      <c r="AO75" s="19">
        <v>0.11222222222222222</v>
      </c>
      <c r="AP75" s="19">
        <v>0.01</v>
      </c>
      <c r="AQ75" s="20">
        <v>6.6638900458142442E-2</v>
      </c>
      <c r="AR75" s="20">
        <v>0.68302346845473938</v>
      </c>
      <c r="AS75" s="20">
        <v>0.73178908869247183</v>
      </c>
      <c r="AT75" s="20">
        <v>0.2416946053032612</v>
      </c>
      <c r="AU75" s="21" t="s">
        <v>280</v>
      </c>
      <c r="AV75" s="21" t="s">
        <v>107</v>
      </c>
    </row>
    <row r="76" spans="1:48" x14ac:dyDescent="0.35">
      <c r="A76" t="s">
        <v>195</v>
      </c>
      <c r="B76" t="s">
        <v>181</v>
      </c>
      <c r="C76" t="s">
        <v>183</v>
      </c>
      <c r="D76" s="17">
        <v>7960</v>
      </c>
      <c r="E76" s="17">
        <v>1480</v>
      </c>
      <c r="F76" s="17">
        <v>6480</v>
      </c>
      <c r="G76" s="17">
        <v>260</v>
      </c>
      <c r="H76" s="17">
        <v>8468</v>
      </c>
      <c r="I76" s="17">
        <v>474</v>
      </c>
      <c r="J76" s="17">
        <v>363</v>
      </c>
      <c r="K76" s="17">
        <v>121</v>
      </c>
      <c r="L76" s="17">
        <v>212</v>
      </c>
      <c r="M76" s="17">
        <v>110</v>
      </c>
      <c r="N76" s="17">
        <v>76</v>
      </c>
      <c r="O76" s="17">
        <v>7112</v>
      </c>
      <c r="P76" s="17">
        <v>1262</v>
      </c>
      <c r="Q76" s="17">
        <v>15</v>
      </c>
      <c r="R76" s="17">
        <v>0</v>
      </c>
      <c r="S76" s="17">
        <v>0</v>
      </c>
      <c r="T76" s="17">
        <v>15</v>
      </c>
      <c r="U76" s="17">
        <v>0</v>
      </c>
      <c r="V76" s="17">
        <v>7137</v>
      </c>
      <c r="W76" s="17">
        <v>649</v>
      </c>
      <c r="X76" s="17">
        <v>6054</v>
      </c>
      <c r="Y76" s="17">
        <v>167</v>
      </c>
      <c r="Z76" s="17">
        <v>1356</v>
      </c>
      <c r="AA76" s="17">
        <v>6314</v>
      </c>
      <c r="AB76" s="17">
        <v>232</v>
      </c>
      <c r="AC76" s="17">
        <v>823</v>
      </c>
      <c r="AD76" s="17">
        <v>417</v>
      </c>
      <c r="AE76" s="17">
        <v>260</v>
      </c>
      <c r="AF76" s="17">
        <v>65</v>
      </c>
      <c r="AG76" s="18">
        <v>9.0934566344402404E-2</v>
      </c>
      <c r="AH76" s="18">
        <v>4.1178333861260692E-2</v>
      </c>
      <c r="AI76" s="18">
        <v>0.88468544206249122</v>
      </c>
      <c r="AJ76" s="19">
        <v>1.1885895404120444E-2</v>
      </c>
      <c r="AK76" s="18">
        <v>0.84825556956704495</v>
      </c>
      <c r="AL76" s="18">
        <v>0.11531455793750876</v>
      </c>
      <c r="AM76" s="19">
        <v>0</v>
      </c>
      <c r="AN76" s="19">
        <v>0</v>
      </c>
      <c r="AO76" s="19">
        <v>1.1885895404120444E-2</v>
      </c>
      <c r="AP76" s="19">
        <v>0</v>
      </c>
      <c r="AQ76" s="20">
        <v>4.0123456790123455E-2</v>
      </c>
      <c r="AR76" s="20">
        <v>0.78140703517587939</v>
      </c>
      <c r="AS76" s="20">
        <v>0.81407035175879394</v>
      </c>
      <c r="AT76" s="20">
        <v>0.18592964824120603</v>
      </c>
      <c r="AU76" s="21" t="s">
        <v>281</v>
      </c>
      <c r="AV76" s="21" t="s">
        <v>107</v>
      </c>
    </row>
    <row r="77" spans="1:48" x14ac:dyDescent="0.35">
      <c r="A77" t="s">
        <v>196</v>
      </c>
      <c r="B77" t="s">
        <v>181</v>
      </c>
      <c r="C77" t="s">
        <v>192</v>
      </c>
      <c r="D77" s="17">
        <v>4585</v>
      </c>
      <c r="E77" s="17">
        <v>1189</v>
      </c>
      <c r="F77" s="17">
        <v>3396</v>
      </c>
      <c r="G77" s="17">
        <v>150</v>
      </c>
      <c r="H77" s="17">
        <v>5355</v>
      </c>
      <c r="I77" s="17">
        <v>144</v>
      </c>
      <c r="J77" s="17">
        <v>574</v>
      </c>
      <c r="K77" s="17">
        <v>231</v>
      </c>
      <c r="L77" s="17">
        <v>108</v>
      </c>
      <c r="M77" s="17">
        <v>164</v>
      </c>
      <c r="N77" s="17">
        <v>60</v>
      </c>
      <c r="O77" s="17">
        <v>4074</v>
      </c>
      <c r="P77" s="17">
        <v>896</v>
      </c>
      <c r="Q77" s="17">
        <v>55</v>
      </c>
      <c r="R77" s="17">
        <v>40</v>
      </c>
      <c r="S77" s="17">
        <v>0</v>
      </c>
      <c r="T77" s="17">
        <v>0</v>
      </c>
      <c r="U77" s="17">
        <v>15</v>
      </c>
      <c r="V77" s="17">
        <v>3721</v>
      </c>
      <c r="W77" s="17">
        <v>463</v>
      </c>
      <c r="X77" s="17">
        <v>3123</v>
      </c>
      <c r="Y77" s="17">
        <v>211</v>
      </c>
      <c r="Z77" s="17">
        <v>1281</v>
      </c>
      <c r="AA77" s="17">
        <v>3273</v>
      </c>
      <c r="AB77" s="17">
        <v>267</v>
      </c>
      <c r="AC77" s="17">
        <v>448</v>
      </c>
      <c r="AD77" s="17">
        <v>196</v>
      </c>
      <c r="AE77" s="17">
        <v>150</v>
      </c>
      <c r="AF77" s="17">
        <v>56</v>
      </c>
      <c r="AG77" s="18">
        <v>0.12442891695780704</v>
      </c>
      <c r="AH77" s="18">
        <v>4.5829514207149404E-2</v>
      </c>
      <c r="AI77" s="18">
        <v>0.87960225745767262</v>
      </c>
      <c r="AJ77" s="19">
        <v>6.1383928571428568E-2</v>
      </c>
      <c r="AK77" s="18">
        <v>0.83929051330287552</v>
      </c>
      <c r="AL77" s="18">
        <v>0.12039774254232734</v>
      </c>
      <c r="AM77" s="19">
        <v>4.4642857142857144E-2</v>
      </c>
      <c r="AN77" s="19">
        <v>0</v>
      </c>
      <c r="AO77" s="19">
        <v>0</v>
      </c>
      <c r="AP77" s="19">
        <v>1.6741071428571428E-2</v>
      </c>
      <c r="AQ77" s="20">
        <v>4.4169611307420496E-2</v>
      </c>
      <c r="AR77" s="20">
        <v>0.70796074154852784</v>
      </c>
      <c r="AS77" s="20">
        <v>0.74067611777535447</v>
      </c>
      <c r="AT77" s="20">
        <v>0.25932388222464559</v>
      </c>
      <c r="AU77" s="21" t="s">
        <v>282</v>
      </c>
      <c r="AV77" s="21" t="s">
        <v>107</v>
      </c>
    </row>
    <row r="78" spans="1:48" x14ac:dyDescent="0.35">
      <c r="A78" t="s">
        <v>197</v>
      </c>
      <c r="B78" t="s">
        <v>181</v>
      </c>
      <c r="C78" t="s">
        <v>183</v>
      </c>
      <c r="D78" s="17">
        <v>4080</v>
      </c>
      <c r="E78" s="17">
        <v>627</v>
      </c>
      <c r="F78" s="17">
        <v>3453</v>
      </c>
      <c r="G78" s="17">
        <v>95</v>
      </c>
      <c r="H78" s="17">
        <v>4377</v>
      </c>
      <c r="I78" s="17">
        <v>147</v>
      </c>
      <c r="J78" s="17">
        <v>208</v>
      </c>
      <c r="K78" s="17">
        <v>64</v>
      </c>
      <c r="L78" s="17">
        <v>216</v>
      </c>
      <c r="M78" s="17">
        <v>105</v>
      </c>
      <c r="N78" s="17">
        <v>8</v>
      </c>
      <c r="O78" s="17">
        <v>3629</v>
      </c>
      <c r="P78" s="17">
        <v>617</v>
      </c>
      <c r="Q78" s="17">
        <v>0</v>
      </c>
      <c r="R78" s="17">
        <v>0</v>
      </c>
      <c r="S78" s="17">
        <v>0</v>
      </c>
      <c r="T78" s="17">
        <v>0</v>
      </c>
      <c r="U78" s="17">
        <v>0</v>
      </c>
      <c r="V78" s="17">
        <v>3652</v>
      </c>
      <c r="W78" s="17">
        <v>355</v>
      </c>
      <c r="X78" s="17">
        <v>3267</v>
      </c>
      <c r="Y78" s="17">
        <v>206</v>
      </c>
      <c r="Z78" s="17">
        <v>748</v>
      </c>
      <c r="AA78" s="17">
        <v>3351</v>
      </c>
      <c r="AB78" s="17">
        <v>206</v>
      </c>
      <c r="AC78" s="17">
        <v>301</v>
      </c>
      <c r="AD78" s="17">
        <v>149</v>
      </c>
      <c r="AE78" s="17">
        <v>84</v>
      </c>
      <c r="AF78" s="17">
        <v>0</v>
      </c>
      <c r="AG78" s="18">
        <v>9.720700985761227E-2</v>
      </c>
      <c r="AH78" s="18">
        <v>2.5067144136078783E-2</v>
      </c>
      <c r="AI78" s="18">
        <v>0.91757940854326392</v>
      </c>
      <c r="AJ78" s="19">
        <v>0</v>
      </c>
      <c r="AK78" s="18">
        <v>0.89457831325301207</v>
      </c>
      <c r="AL78" s="18">
        <v>8.2420591456736039E-2</v>
      </c>
      <c r="AM78" s="19">
        <v>0</v>
      </c>
      <c r="AN78" s="19">
        <v>0</v>
      </c>
      <c r="AO78" s="19">
        <v>0</v>
      </c>
      <c r="AP78" s="19">
        <v>0</v>
      </c>
      <c r="AQ78" s="20">
        <v>2.7512308137851143E-2</v>
      </c>
      <c r="AR78" s="20">
        <v>0.82303921568627447</v>
      </c>
      <c r="AS78" s="20">
        <v>0.8463235294117647</v>
      </c>
      <c r="AT78" s="20">
        <v>0.1536764705882353</v>
      </c>
      <c r="AU78" s="21" t="s">
        <v>283</v>
      </c>
      <c r="AV78" s="21" t="s">
        <v>107</v>
      </c>
    </row>
    <row r="79" spans="1:48" x14ac:dyDescent="0.35">
      <c r="A79" t="s">
        <v>121</v>
      </c>
      <c r="B79" t="s">
        <v>181</v>
      </c>
      <c r="C79" t="s">
        <v>183</v>
      </c>
      <c r="D79" s="17">
        <v>6336</v>
      </c>
      <c r="E79" s="17">
        <v>1198</v>
      </c>
      <c r="F79" s="17">
        <v>5138</v>
      </c>
      <c r="G79" s="17">
        <v>223</v>
      </c>
      <c r="H79" s="17">
        <v>7424</v>
      </c>
      <c r="I79" s="17">
        <v>287</v>
      </c>
      <c r="J79" s="17">
        <v>251</v>
      </c>
      <c r="K79" s="17">
        <v>96</v>
      </c>
      <c r="L79" s="17">
        <v>268</v>
      </c>
      <c r="M79" s="17">
        <v>271</v>
      </c>
      <c r="N79" s="17">
        <v>65</v>
      </c>
      <c r="O79" s="17">
        <v>6186</v>
      </c>
      <c r="P79" s="17">
        <v>1340</v>
      </c>
      <c r="Q79" s="17">
        <v>23</v>
      </c>
      <c r="R79" s="17">
        <v>1</v>
      </c>
      <c r="S79" s="17">
        <v>9</v>
      </c>
      <c r="T79" s="17">
        <v>13</v>
      </c>
      <c r="U79" s="17">
        <v>0</v>
      </c>
      <c r="V79" s="17">
        <v>5527</v>
      </c>
      <c r="W79" s="17">
        <v>450</v>
      </c>
      <c r="X79" s="17">
        <v>4750</v>
      </c>
      <c r="Y79" s="17">
        <v>275</v>
      </c>
      <c r="Z79" s="17">
        <v>1238</v>
      </c>
      <c r="AA79" s="17">
        <v>4891</v>
      </c>
      <c r="AB79" s="17">
        <v>275</v>
      </c>
      <c r="AC79" s="17">
        <v>636</v>
      </c>
      <c r="AD79" s="17">
        <v>175</v>
      </c>
      <c r="AE79" s="17">
        <v>141</v>
      </c>
      <c r="AF79" s="17">
        <v>0</v>
      </c>
      <c r="AG79" s="18">
        <v>8.1418491043965979E-2</v>
      </c>
      <c r="AH79" s="18">
        <v>2.8828460437538336E-2</v>
      </c>
      <c r="AI79" s="18">
        <v>0.88492853265786142</v>
      </c>
      <c r="AJ79" s="19">
        <v>1.7164179104477612E-2</v>
      </c>
      <c r="AK79" s="18">
        <v>0.8594174054640854</v>
      </c>
      <c r="AL79" s="18">
        <v>0.11507146734213859</v>
      </c>
      <c r="AM79" s="19">
        <v>7.4626865671641792E-4</v>
      </c>
      <c r="AN79" s="19">
        <v>6.7164179104477612E-3</v>
      </c>
      <c r="AO79" s="19">
        <v>9.7014925373134324E-3</v>
      </c>
      <c r="AP79" s="19">
        <v>0</v>
      </c>
      <c r="AQ79" s="20">
        <v>4.3402101985208254E-2</v>
      </c>
      <c r="AR79" s="20">
        <v>0.77572601010101006</v>
      </c>
      <c r="AS79" s="20">
        <v>0.81092171717171713</v>
      </c>
      <c r="AT79" s="20">
        <v>0.18907828282828282</v>
      </c>
      <c r="AU79" s="21" t="s">
        <v>284</v>
      </c>
      <c r="AV79" s="21" t="s">
        <v>107</v>
      </c>
    </row>
    <row r="80" spans="1:48" x14ac:dyDescent="0.35">
      <c r="A80" t="s">
        <v>158</v>
      </c>
      <c r="B80" t="s">
        <v>181</v>
      </c>
      <c r="C80" t="s">
        <v>183</v>
      </c>
      <c r="D80" s="17">
        <v>4911</v>
      </c>
      <c r="E80" s="17">
        <v>1485</v>
      </c>
      <c r="F80" s="17">
        <v>3403</v>
      </c>
      <c r="G80" s="17">
        <v>264</v>
      </c>
      <c r="H80" s="17">
        <v>6428</v>
      </c>
      <c r="I80" s="17">
        <v>943</v>
      </c>
      <c r="J80" s="17">
        <v>508</v>
      </c>
      <c r="K80" s="17">
        <v>547</v>
      </c>
      <c r="L80" s="17">
        <v>189</v>
      </c>
      <c r="M80" s="17">
        <v>139</v>
      </c>
      <c r="N80" s="17">
        <v>34</v>
      </c>
      <c r="O80" s="17">
        <v>4068</v>
      </c>
      <c r="P80" s="17">
        <v>1411</v>
      </c>
      <c r="Q80" s="17">
        <v>226</v>
      </c>
      <c r="R80" s="17">
        <v>18</v>
      </c>
      <c r="S80" s="17">
        <v>0</v>
      </c>
      <c r="T80" s="17">
        <v>208</v>
      </c>
      <c r="U80" s="17">
        <v>0</v>
      </c>
      <c r="V80" s="17">
        <v>3858</v>
      </c>
      <c r="W80" s="17">
        <v>703</v>
      </c>
      <c r="X80" s="17">
        <v>2685</v>
      </c>
      <c r="Y80" s="17">
        <v>129</v>
      </c>
      <c r="Z80" s="17">
        <v>2360</v>
      </c>
      <c r="AA80" s="17">
        <v>2940</v>
      </c>
      <c r="AB80" s="17">
        <v>311</v>
      </c>
      <c r="AC80" s="17">
        <v>895</v>
      </c>
      <c r="AD80" s="17">
        <v>369</v>
      </c>
      <c r="AE80" s="17">
        <v>255</v>
      </c>
      <c r="AF80" s="17">
        <v>182</v>
      </c>
      <c r="AG80" s="18">
        <v>0.18221876620010369</v>
      </c>
      <c r="AH80" s="18">
        <v>8.673469387755102E-2</v>
      </c>
      <c r="AI80" s="18">
        <v>0.76205287713841363</v>
      </c>
      <c r="AJ80" s="19">
        <v>0.16017009213323885</v>
      </c>
      <c r="AK80" s="18">
        <v>0.69595645412130636</v>
      </c>
      <c r="AL80" s="18">
        <v>0.23198548470710212</v>
      </c>
      <c r="AM80" s="19">
        <v>1.2756909992912827E-2</v>
      </c>
      <c r="AN80" s="19">
        <v>0</v>
      </c>
      <c r="AO80" s="19">
        <v>0.147413182140326</v>
      </c>
      <c r="AP80" s="19">
        <v>0</v>
      </c>
      <c r="AQ80" s="20">
        <v>7.7578607111372322E-2</v>
      </c>
      <c r="AR80" s="20">
        <v>0.6391773569537772</v>
      </c>
      <c r="AS80" s="20">
        <v>0.6929342292812054</v>
      </c>
      <c r="AT80" s="20">
        <v>0.30238240684178375</v>
      </c>
      <c r="AU80" s="21" t="s">
        <v>285</v>
      </c>
      <c r="AV80" s="21" t="s">
        <v>107</v>
      </c>
    </row>
    <row r="81" spans="1:48" x14ac:dyDescent="0.35">
      <c r="A81" t="s">
        <v>198</v>
      </c>
      <c r="B81" t="s">
        <v>181</v>
      </c>
      <c r="C81" t="s">
        <v>192</v>
      </c>
      <c r="D81" s="17">
        <v>8337</v>
      </c>
      <c r="E81" s="17">
        <v>1598</v>
      </c>
      <c r="F81" s="17">
        <v>6675</v>
      </c>
      <c r="G81" s="17">
        <v>212</v>
      </c>
      <c r="H81" s="17">
        <v>8950</v>
      </c>
      <c r="I81" s="17">
        <v>452</v>
      </c>
      <c r="J81" s="17">
        <v>447</v>
      </c>
      <c r="K81" s="17">
        <v>230</v>
      </c>
      <c r="L81" s="17">
        <v>78</v>
      </c>
      <c r="M81" s="17">
        <v>249</v>
      </c>
      <c r="N81" s="17">
        <v>82</v>
      </c>
      <c r="O81" s="17">
        <v>7412</v>
      </c>
      <c r="P81" s="17">
        <v>1686</v>
      </c>
      <c r="Q81" s="17">
        <v>65</v>
      </c>
      <c r="R81" s="17">
        <v>45</v>
      </c>
      <c r="S81" s="17">
        <v>20</v>
      </c>
      <c r="T81" s="17">
        <v>0</v>
      </c>
      <c r="U81" s="17">
        <v>0</v>
      </c>
      <c r="V81" s="17">
        <v>7216</v>
      </c>
      <c r="W81" s="17">
        <v>736</v>
      </c>
      <c r="X81" s="17">
        <v>6283</v>
      </c>
      <c r="Y81" s="17">
        <v>423</v>
      </c>
      <c r="Z81" s="17">
        <v>1538</v>
      </c>
      <c r="AA81" s="17">
        <v>6479</v>
      </c>
      <c r="AB81" s="17">
        <v>482</v>
      </c>
      <c r="AC81" s="17">
        <v>673</v>
      </c>
      <c r="AD81" s="17">
        <v>254</v>
      </c>
      <c r="AE81" s="17">
        <v>196</v>
      </c>
      <c r="AF81" s="17">
        <v>59</v>
      </c>
      <c r="AG81" s="18">
        <v>0.10199556541019955</v>
      </c>
      <c r="AH81" s="18">
        <v>3.0251582034264549E-2</v>
      </c>
      <c r="AI81" s="18">
        <v>0.89786585365853655</v>
      </c>
      <c r="AJ81" s="19">
        <v>3.8552787663107949E-2</v>
      </c>
      <c r="AK81" s="18">
        <v>0.87070399113082042</v>
      </c>
      <c r="AL81" s="18">
        <v>9.3264966740576494E-2</v>
      </c>
      <c r="AM81" s="19">
        <v>2.6690391459074734E-2</v>
      </c>
      <c r="AN81" s="19">
        <v>1.1862396204033215E-2</v>
      </c>
      <c r="AO81" s="19">
        <v>0</v>
      </c>
      <c r="AP81" s="19">
        <v>0</v>
      </c>
      <c r="AQ81" s="20">
        <v>3.1760299625468162E-2</v>
      </c>
      <c r="AR81" s="20">
        <v>0.77521890368237978</v>
      </c>
      <c r="AS81" s="20">
        <v>0.80064771500539766</v>
      </c>
      <c r="AT81" s="20">
        <v>0.1916756627084083</v>
      </c>
      <c r="AU81" s="21" t="s">
        <v>286</v>
      </c>
      <c r="AV81" s="21" t="s">
        <v>107</v>
      </c>
    </row>
    <row r="82" spans="1:48" x14ac:dyDescent="0.35">
      <c r="A82" t="s">
        <v>199</v>
      </c>
      <c r="B82" t="s">
        <v>181</v>
      </c>
      <c r="C82" t="s">
        <v>183</v>
      </c>
      <c r="D82" s="17">
        <v>4174</v>
      </c>
      <c r="E82" s="17">
        <v>891</v>
      </c>
      <c r="F82" s="17">
        <v>3283</v>
      </c>
      <c r="G82" s="17">
        <v>157</v>
      </c>
      <c r="H82" s="17">
        <v>4907</v>
      </c>
      <c r="I82" s="17">
        <v>71</v>
      </c>
      <c r="J82" s="17">
        <v>337</v>
      </c>
      <c r="K82" s="17">
        <v>48</v>
      </c>
      <c r="L82" s="17">
        <v>135</v>
      </c>
      <c r="M82" s="17">
        <v>81</v>
      </c>
      <c r="N82" s="17">
        <v>0</v>
      </c>
      <c r="O82" s="17">
        <v>4235</v>
      </c>
      <c r="P82" s="17">
        <v>1163</v>
      </c>
      <c r="Q82" s="17">
        <v>0</v>
      </c>
      <c r="R82" s="17">
        <v>0</v>
      </c>
      <c r="S82" s="17">
        <v>0</v>
      </c>
      <c r="T82" s="17">
        <v>0</v>
      </c>
      <c r="U82" s="17">
        <v>0</v>
      </c>
      <c r="V82" s="17">
        <v>3476</v>
      </c>
      <c r="W82" s="17">
        <v>366</v>
      </c>
      <c r="X82" s="17">
        <v>2958</v>
      </c>
      <c r="Y82" s="17">
        <v>179</v>
      </c>
      <c r="Z82" s="17">
        <v>672</v>
      </c>
      <c r="AA82" s="17">
        <v>3097</v>
      </c>
      <c r="AB82" s="17">
        <v>278</v>
      </c>
      <c r="AC82" s="17">
        <v>379</v>
      </c>
      <c r="AD82" s="17">
        <v>88</v>
      </c>
      <c r="AE82" s="17">
        <v>139</v>
      </c>
      <c r="AF82" s="17">
        <v>99</v>
      </c>
      <c r="AG82" s="18">
        <v>0.10529344073647871</v>
      </c>
      <c r="AH82" s="18">
        <v>4.4882144010332581E-2</v>
      </c>
      <c r="AI82" s="18">
        <v>0.89096662830840045</v>
      </c>
      <c r="AJ82" s="19">
        <v>0</v>
      </c>
      <c r="AK82" s="18">
        <v>0.85097813578826242</v>
      </c>
      <c r="AL82" s="18">
        <v>0.10903337169159955</v>
      </c>
      <c r="AM82" s="19">
        <v>0</v>
      </c>
      <c r="AN82" s="19">
        <v>0</v>
      </c>
      <c r="AO82" s="19">
        <v>0</v>
      </c>
      <c r="AP82" s="19">
        <v>0</v>
      </c>
      <c r="AQ82" s="20">
        <v>4.7822113920194941E-2</v>
      </c>
      <c r="AR82" s="20">
        <v>0.74892189746046955</v>
      </c>
      <c r="AS82" s="20">
        <v>0.78653569717297556</v>
      </c>
      <c r="AT82" s="20">
        <v>0.21346430282702444</v>
      </c>
      <c r="AU82" s="21" t="s">
        <v>287</v>
      </c>
      <c r="AV82" s="21" t="s">
        <v>107</v>
      </c>
    </row>
    <row r="83" spans="1:48" x14ac:dyDescent="0.35">
      <c r="A83" t="s">
        <v>113</v>
      </c>
      <c r="B83" t="s">
        <v>181</v>
      </c>
      <c r="C83" t="s">
        <v>183</v>
      </c>
      <c r="D83" s="17">
        <v>3544</v>
      </c>
      <c r="E83" s="17">
        <v>872</v>
      </c>
      <c r="F83" s="17">
        <v>2672</v>
      </c>
      <c r="G83" s="17">
        <v>120</v>
      </c>
      <c r="H83" s="17">
        <v>3601</v>
      </c>
      <c r="I83" s="17">
        <v>106</v>
      </c>
      <c r="J83" s="17">
        <v>208</v>
      </c>
      <c r="K83" s="17">
        <v>57</v>
      </c>
      <c r="L83" s="17">
        <v>238</v>
      </c>
      <c r="M83" s="17">
        <v>65</v>
      </c>
      <c r="N83" s="17">
        <v>28</v>
      </c>
      <c r="O83" s="17">
        <v>2899</v>
      </c>
      <c r="P83" s="17">
        <v>576</v>
      </c>
      <c r="Q83" s="17">
        <v>38</v>
      </c>
      <c r="R83" s="17">
        <v>0</v>
      </c>
      <c r="S83" s="17">
        <v>0</v>
      </c>
      <c r="T83" s="17">
        <v>19</v>
      </c>
      <c r="U83" s="17">
        <v>19</v>
      </c>
      <c r="V83" s="17">
        <v>2876</v>
      </c>
      <c r="W83" s="17">
        <v>260</v>
      </c>
      <c r="X83" s="17">
        <v>2473</v>
      </c>
      <c r="Y83" s="17">
        <v>45</v>
      </c>
      <c r="Z83" s="17">
        <v>702</v>
      </c>
      <c r="AA83" s="17">
        <v>2593</v>
      </c>
      <c r="AB83" s="17">
        <v>71</v>
      </c>
      <c r="AC83" s="17">
        <v>283</v>
      </c>
      <c r="AD83" s="17">
        <v>189</v>
      </c>
      <c r="AE83" s="17">
        <v>120</v>
      </c>
      <c r="AF83" s="17">
        <v>26</v>
      </c>
      <c r="AG83" s="18">
        <v>9.0403337969401948E-2</v>
      </c>
      <c r="AH83" s="18">
        <v>4.627844195912071E-2</v>
      </c>
      <c r="AI83" s="18">
        <v>0.90159944367176637</v>
      </c>
      <c r="AJ83" s="19">
        <v>6.5972222222222224E-2</v>
      </c>
      <c r="AK83" s="18">
        <v>0.85987482614742694</v>
      </c>
      <c r="AL83" s="18">
        <v>9.8400556328233663E-2</v>
      </c>
      <c r="AM83" s="19">
        <v>0</v>
      </c>
      <c r="AN83" s="19">
        <v>0</v>
      </c>
      <c r="AO83" s="19">
        <v>3.2986111111111112E-2</v>
      </c>
      <c r="AP83" s="19">
        <v>3.2986111111111112E-2</v>
      </c>
      <c r="AQ83" s="20">
        <v>4.4910179640718563E-2</v>
      </c>
      <c r="AR83" s="20">
        <v>0.72009029345372455</v>
      </c>
      <c r="AS83" s="20">
        <v>0.75395033860045146</v>
      </c>
      <c r="AT83" s="20">
        <v>0.24604966139954854</v>
      </c>
      <c r="AU83" s="21" t="s">
        <v>288</v>
      </c>
      <c r="AV83" s="21" t="s">
        <v>107</v>
      </c>
    </row>
    <row r="84" spans="1:48" x14ac:dyDescent="0.35">
      <c r="A84" t="s">
        <v>200</v>
      </c>
      <c r="B84" t="s">
        <v>181</v>
      </c>
      <c r="C84" t="s">
        <v>201</v>
      </c>
      <c r="D84" s="17">
        <v>8534</v>
      </c>
      <c r="E84" s="17">
        <v>2685</v>
      </c>
      <c r="F84" s="17">
        <v>5849</v>
      </c>
      <c r="G84" s="17">
        <v>324</v>
      </c>
      <c r="H84" s="17">
        <v>9532</v>
      </c>
      <c r="I84" s="17">
        <v>994</v>
      </c>
      <c r="J84" s="17">
        <v>622</v>
      </c>
      <c r="K84" s="17">
        <v>493</v>
      </c>
      <c r="L84" s="17">
        <v>205</v>
      </c>
      <c r="M84" s="17">
        <v>154</v>
      </c>
      <c r="N84" s="17">
        <v>181</v>
      </c>
      <c r="O84" s="17">
        <v>6883</v>
      </c>
      <c r="P84" s="17">
        <v>2059</v>
      </c>
      <c r="Q84" s="17">
        <v>421</v>
      </c>
      <c r="R84" s="17">
        <v>12</v>
      </c>
      <c r="S84" s="17">
        <v>140</v>
      </c>
      <c r="T84" s="17">
        <v>152</v>
      </c>
      <c r="U84" s="17">
        <v>117</v>
      </c>
      <c r="V84" s="17">
        <v>6659</v>
      </c>
      <c r="W84" s="17">
        <v>1125</v>
      </c>
      <c r="X84" s="17">
        <v>5109</v>
      </c>
      <c r="Y84" s="17">
        <v>375</v>
      </c>
      <c r="Z84" s="17">
        <v>2649</v>
      </c>
      <c r="AA84" s="17">
        <v>5358</v>
      </c>
      <c r="AB84" s="17">
        <v>409</v>
      </c>
      <c r="AC84" s="17">
        <v>1301</v>
      </c>
      <c r="AD84" s="17">
        <v>716</v>
      </c>
      <c r="AE84" s="17">
        <v>249</v>
      </c>
      <c r="AF84" s="17">
        <v>34</v>
      </c>
      <c r="AG84" s="18">
        <v>0.16894428592881813</v>
      </c>
      <c r="AH84" s="18">
        <v>4.647256438969765E-2</v>
      </c>
      <c r="AI84" s="18">
        <v>0.80462531911698454</v>
      </c>
      <c r="AJ84" s="19">
        <v>0.20446818844099077</v>
      </c>
      <c r="AK84" s="18">
        <v>0.7672323171647395</v>
      </c>
      <c r="AL84" s="18">
        <v>0.19537468088301546</v>
      </c>
      <c r="AM84" s="19">
        <v>5.8280718795531809E-3</v>
      </c>
      <c r="AN84" s="19">
        <v>6.7994171928120448E-2</v>
      </c>
      <c r="AO84" s="19">
        <v>7.3822243807673632E-2</v>
      </c>
      <c r="AP84" s="19">
        <v>5.6823700825643517E-2</v>
      </c>
      <c r="AQ84" s="20">
        <v>5.5394084458881859E-2</v>
      </c>
      <c r="AR84" s="20">
        <v>0.64741035856573703</v>
      </c>
      <c r="AS84" s="20">
        <v>0.68537614248886802</v>
      </c>
      <c r="AT84" s="20">
        <v>0.31462385751113192</v>
      </c>
      <c r="AU84" s="21" t="s">
        <v>289</v>
      </c>
      <c r="AV84" s="21" t="s">
        <v>107</v>
      </c>
    </row>
    <row r="85" spans="1:48" x14ac:dyDescent="0.35">
      <c r="A85" t="s">
        <v>119</v>
      </c>
      <c r="B85" t="s">
        <v>181</v>
      </c>
      <c r="C85" t="s">
        <v>192</v>
      </c>
      <c r="D85" s="17">
        <v>6852</v>
      </c>
      <c r="E85" s="17">
        <v>840</v>
      </c>
      <c r="F85" s="17">
        <v>6012</v>
      </c>
      <c r="G85" s="17">
        <v>207</v>
      </c>
      <c r="H85" s="17">
        <v>7297</v>
      </c>
      <c r="I85" s="17">
        <v>359</v>
      </c>
      <c r="J85" s="17">
        <v>250</v>
      </c>
      <c r="K85" s="17">
        <v>79</v>
      </c>
      <c r="L85" s="17">
        <v>106</v>
      </c>
      <c r="M85" s="17">
        <v>110</v>
      </c>
      <c r="N85" s="17">
        <v>61</v>
      </c>
      <c r="O85" s="17">
        <v>6332</v>
      </c>
      <c r="P85" s="17">
        <v>1164</v>
      </c>
      <c r="Q85" s="17">
        <v>62</v>
      </c>
      <c r="R85" s="17">
        <v>5</v>
      </c>
      <c r="S85" s="17">
        <v>0</v>
      </c>
      <c r="T85" s="17">
        <v>57</v>
      </c>
      <c r="U85" s="17">
        <v>0</v>
      </c>
      <c r="V85" s="17">
        <v>6354</v>
      </c>
      <c r="W85" s="17">
        <v>362</v>
      </c>
      <c r="X85" s="17">
        <v>5715</v>
      </c>
      <c r="Y85" s="17">
        <v>148</v>
      </c>
      <c r="Z85" s="17">
        <v>965</v>
      </c>
      <c r="AA85" s="17">
        <v>5908</v>
      </c>
      <c r="AB85" s="17">
        <v>194</v>
      </c>
      <c r="AC85" s="17">
        <v>446</v>
      </c>
      <c r="AD85" s="17">
        <v>168</v>
      </c>
      <c r="AE85" s="17">
        <v>193</v>
      </c>
      <c r="AF85" s="17">
        <v>46</v>
      </c>
      <c r="AG85" s="18">
        <v>5.6971986150456407E-2</v>
      </c>
      <c r="AH85" s="18">
        <v>3.2667569397427217E-2</v>
      </c>
      <c r="AI85" s="18">
        <v>0.92980799496380229</v>
      </c>
      <c r="AJ85" s="19">
        <v>5.3264604810996562E-2</v>
      </c>
      <c r="AK85" s="18">
        <v>0.89943342776203961</v>
      </c>
      <c r="AL85" s="18">
        <v>7.0192005036197672E-2</v>
      </c>
      <c r="AM85" s="19">
        <v>4.2955326460481103E-3</v>
      </c>
      <c r="AN85" s="19">
        <v>0</v>
      </c>
      <c r="AO85" s="19">
        <v>4.8969072164948453E-2</v>
      </c>
      <c r="AP85" s="19">
        <v>0</v>
      </c>
      <c r="AQ85" s="20">
        <v>3.4431137724550899E-2</v>
      </c>
      <c r="AR85" s="20">
        <v>0.84719789842381787</v>
      </c>
      <c r="AS85" s="20">
        <v>0.87740805604203154</v>
      </c>
      <c r="AT85" s="20">
        <v>0.12259194395796848</v>
      </c>
      <c r="AU85" s="21" t="s">
        <v>290</v>
      </c>
      <c r="AV85" s="21" t="s">
        <v>107</v>
      </c>
    </row>
    <row r="86" spans="1:48" x14ac:dyDescent="0.35">
      <c r="A86" t="s">
        <v>116</v>
      </c>
      <c r="B86" t="s">
        <v>181</v>
      </c>
      <c r="C86" t="s">
        <v>192</v>
      </c>
      <c r="D86" s="17">
        <v>18925</v>
      </c>
      <c r="E86" s="17">
        <v>2724</v>
      </c>
      <c r="F86" s="17">
        <v>16155</v>
      </c>
      <c r="G86" s="17">
        <v>679</v>
      </c>
      <c r="H86" s="17">
        <v>21365</v>
      </c>
      <c r="I86" s="17">
        <v>629</v>
      </c>
      <c r="J86" s="17">
        <v>734</v>
      </c>
      <c r="K86" s="17">
        <v>230</v>
      </c>
      <c r="L86" s="17">
        <v>191</v>
      </c>
      <c r="M86" s="17">
        <v>166</v>
      </c>
      <c r="N86" s="17">
        <v>127</v>
      </c>
      <c r="O86" s="17">
        <v>19288</v>
      </c>
      <c r="P86" s="17">
        <v>3657</v>
      </c>
      <c r="Q86" s="17">
        <v>127</v>
      </c>
      <c r="R86" s="17">
        <v>0</v>
      </c>
      <c r="S86" s="17">
        <v>0</v>
      </c>
      <c r="T86" s="17">
        <v>127</v>
      </c>
      <c r="U86" s="17">
        <v>0</v>
      </c>
      <c r="V86" s="17">
        <v>17045</v>
      </c>
      <c r="W86" s="17">
        <v>1045</v>
      </c>
      <c r="X86" s="17">
        <v>15075</v>
      </c>
      <c r="Y86" s="17">
        <v>489</v>
      </c>
      <c r="Z86" s="17">
        <v>2077</v>
      </c>
      <c r="AA86" s="17">
        <v>15745</v>
      </c>
      <c r="AB86" s="17">
        <v>750</v>
      </c>
      <c r="AC86" s="17">
        <v>1254</v>
      </c>
      <c r="AD86" s="17">
        <v>295</v>
      </c>
      <c r="AE86" s="17">
        <v>670</v>
      </c>
      <c r="AF86" s="17">
        <v>261</v>
      </c>
      <c r="AG86" s="18">
        <v>6.1308301554708122E-2</v>
      </c>
      <c r="AH86" s="18">
        <v>4.2553191489361701E-2</v>
      </c>
      <c r="AI86" s="18">
        <v>0.92373129950132005</v>
      </c>
      <c r="AJ86" s="19">
        <v>3.4727919059338253E-2</v>
      </c>
      <c r="AK86" s="18">
        <v>0.88442358462892345</v>
      </c>
      <c r="AL86" s="18">
        <v>7.3569961865649749E-2</v>
      </c>
      <c r="AM86" s="19">
        <v>0</v>
      </c>
      <c r="AN86" s="19">
        <v>0</v>
      </c>
      <c r="AO86" s="19">
        <v>3.4727919059338253E-2</v>
      </c>
      <c r="AP86" s="19">
        <v>0</v>
      </c>
      <c r="AQ86" s="20">
        <v>4.2030331166821415E-2</v>
      </c>
      <c r="AR86" s="20">
        <v>0.81775429326287974</v>
      </c>
      <c r="AS86" s="20">
        <v>0.85363276089828266</v>
      </c>
      <c r="AT86" s="20">
        <v>0.14393659180977542</v>
      </c>
      <c r="AU86" s="21" t="s">
        <v>291</v>
      </c>
      <c r="AV86" s="21" t="s">
        <v>107</v>
      </c>
    </row>
    <row r="87" spans="1:48" x14ac:dyDescent="0.35">
      <c r="A87" t="s">
        <v>202</v>
      </c>
      <c r="B87" t="s">
        <v>181</v>
      </c>
      <c r="C87" t="s">
        <v>192</v>
      </c>
      <c r="D87" s="17">
        <v>6555</v>
      </c>
      <c r="E87" s="17">
        <v>1964</v>
      </c>
      <c r="F87" s="17">
        <v>4591</v>
      </c>
      <c r="G87" s="17">
        <v>126</v>
      </c>
      <c r="H87" s="17">
        <v>7836</v>
      </c>
      <c r="I87" s="17">
        <v>371</v>
      </c>
      <c r="J87" s="17">
        <v>489</v>
      </c>
      <c r="K87" s="17">
        <v>221</v>
      </c>
      <c r="L87" s="17">
        <v>100</v>
      </c>
      <c r="M87" s="17">
        <v>182</v>
      </c>
      <c r="N87" s="17">
        <v>98</v>
      </c>
      <c r="O87" s="17">
        <v>6375</v>
      </c>
      <c r="P87" s="17">
        <v>1740</v>
      </c>
      <c r="Q87" s="17">
        <v>194</v>
      </c>
      <c r="R87" s="17">
        <v>0</v>
      </c>
      <c r="S87" s="17">
        <v>30</v>
      </c>
      <c r="T87" s="17">
        <v>53</v>
      </c>
      <c r="U87" s="17">
        <v>111</v>
      </c>
      <c r="V87" s="17">
        <v>4921</v>
      </c>
      <c r="W87" s="17">
        <v>488</v>
      </c>
      <c r="X87" s="17">
        <v>4184</v>
      </c>
      <c r="Y87" s="17">
        <v>286</v>
      </c>
      <c r="Z87" s="17">
        <v>1461</v>
      </c>
      <c r="AA87" s="17">
        <v>4310</v>
      </c>
      <c r="AB87" s="17">
        <v>286</v>
      </c>
      <c r="AC87" s="17">
        <v>611</v>
      </c>
      <c r="AD87" s="17">
        <v>202</v>
      </c>
      <c r="AE87" s="17">
        <v>126</v>
      </c>
      <c r="AF87" s="17">
        <v>0</v>
      </c>
      <c r="AG87" s="18">
        <v>9.9166836008941273E-2</v>
      </c>
      <c r="AH87" s="18">
        <v>2.923433874709977E-2</v>
      </c>
      <c r="AI87" s="18">
        <v>0.87583824425929691</v>
      </c>
      <c r="AJ87" s="19">
        <v>0.11149425287356322</v>
      </c>
      <c r="AK87" s="18">
        <v>0.85023369233895552</v>
      </c>
      <c r="AL87" s="18">
        <v>0.12416175574070311</v>
      </c>
      <c r="AM87" s="19">
        <v>0</v>
      </c>
      <c r="AN87" s="19">
        <v>1.7241379310344827E-2</v>
      </c>
      <c r="AO87" s="19">
        <v>3.0459770114942528E-2</v>
      </c>
      <c r="AP87" s="19">
        <v>6.3793103448275865E-2</v>
      </c>
      <c r="AQ87" s="20">
        <v>2.7445001089087345E-2</v>
      </c>
      <c r="AR87" s="20">
        <v>0.6811594202898551</v>
      </c>
      <c r="AS87" s="20">
        <v>0.70038138825324181</v>
      </c>
      <c r="AT87" s="20">
        <v>0.29961861174675819</v>
      </c>
      <c r="AU87" s="21" t="s">
        <v>292</v>
      </c>
      <c r="AV87" s="21" t="s">
        <v>107</v>
      </c>
    </row>
    <row r="88" spans="1:48" x14ac:dyDescent="0.35">
      <c r="A88" t="s">
        <v>203</v>
      </c>
      <c r="B88" t="s">
        <v>181</v>
      </c>
      <c r="C88" t="s">
        <v>201</v>
      </c>
      <c r="D88" s="17">
        <v>11700</v>
      </c>
      <c r="E88" s="17">
        <v>1900</v>
      </c>
      <c r="F88" s="17">
        <v>9778</v>
      </c>
      <c r="G88" s="17">
        <v>508</v>
      </c>
      <c r="H88" s="17">
        <v>11785</v>
      </c>
      <c r="I88" s="17">
        <v>888</v>
      </c>
      <c r="J88" s="17">
        <v>170</v>
      </c>
      <c r="K88" s="17">
        <v>180</v>
      </c>
      <c r="L88" s="17">
        <v>261</v>
      </c>
      <c r="M88" s="17">
        <v>322</v>
      </c>
      <c r="N88" s="17">
        <v>18</v>
      </c>
      <c r="O88" s="17">
        <v>9946</v>
      </c>
      <c r="P88" s="17">
        <v>1277</v>
      </c>
      <c r="Q88" s="17">
        <v>58</v>
      </c>
      <c r="R88" s="17">
        <v>0</v>
      </c>
      <c r="S88" s="17">
        <v>0</v>
      </c>
      <c r="T88" s="17">
        <v>58</v>
      </c>
      <c r="U88" s="17">
        <v>0</v>
      </c>
      <c r="V88" s="17">
        <v>10716</v>
      </c>
      <c r="W88" s="17">
        <v>940</v>
      </c>
      <c r="X88" s="17">
        <v>9255</v>
      </c>
      <c r="Y88" s="17">
        <v>216</v>
      </c>
      <c r="Z88" s="17">
        <v>1839</v>
      </c>
      <c r="AA88" s="17">
        <v>9705</v>
      </c>
      <c r="AB88" s="17">
        <v>470</v>
      </c>
      <c r="AC88" s="17">
        <v>989</v>
      </c>
      <c r="AD88" s="17">
        <v>470</v>
      </c>
      <c r="AE88" s="17">
        <v>450</v>
      </c>
      <c r="AF88" s="17">
        <v>254</v>
      </c>
      <c r="AG88" s="18">
        <v>8.771929824561403E-2</v>
      </c>
      <c r="AH88" s="18">
        <v>4.6367851622874809E-2</v>
      </c>
      <c r="AI88" s="18">
        <v>0.90565509518477039</v>
      </c>
      <c r="AJ88" s="19">
        <v>4.541895066562255E-2</v>
      </c>
      <c r="AK88" s="18">
        <v>0.86366181410974241</v>
      </c>
      <c r="AL88" s="18">
        <v>9.2291899962672633E-2</v>
      </c>
      <c r="AM88" s="19">
        <v>0</v>
      </c>
      <c r="AN88" s="19">
        <v>0</v>
      </c>
      <c r="AO88" s="19">
        <v>4.541895066562255E-2</v>
      </c>
      <c r="AP88" s="19">
        <v>0</v>
      </c>
      <c r="AQ88" s="20">
        <v>5.1953364696256901E-2</v>
      </c>
      <c r="AR88" s="20">
        <v>0.79230769230769227</v>
      </c>
      <c r="AS88" s="20">
        <v>0.83572649572649571</v>
      </c>
      <c r="AT88" s="20">
        <v>0.1623931623931624</v>
      </c>
      <c r="AU88" s="21" t="s">
        <v>293</v>
      </c>
      <c r="AV88" s="21" t="s">
        <v>107</v>
      </c>
    </row>
    <row r="89" spans="1:48" x14ac:dyDescent="0.35">
      <c r="A89" t="s">
        <v>175</v>
      </c>
      <c r="B89" t="s">
        <v>181</v>
      </c>
      <c r="C89" t="s">
        <v>201</v>
      </c>
      <c r="D89" s="17">
        <v>28848</v>
      </c>
      <c r="E89" s="17">
        <v>12959</v>
      </c>
      <c r="F89" s="17">
        <v>15889</v>
      </c>
      <c r="G89" s="17">
        <v>1117</v>
      </c>
      <c r="H89" s="17">
        <v>19452</v>
      </c>
      <c r="I89" s="17">
        <v>5457</v>
      </c>
      <c r="J89" s="17">
        <v>2222</v>
      </c>
      <c r="K89" s="17">
        <v>877</v>
      </c>
      <c r="L89" s="17">
        <v>1053</v>
      </c>
      <c r="M89" s="17">
        <v>1191</v>
      </c>
      <c r="N89" s="17">
        <v>371</v>
      </c>
      <c r="O89" s="17">
        <v>8281</v>
      </c>
      <c r="P89" s="17">
        <v>1687</v>
      </c>
      <c r="Q89" s="17">
        <v>314</v>
      </c>
      <c r="R89" s="17">
        <v>10</v>
      </c>
      <c r="S89" s="17">
        <v>41</v>
      </c>
      <c r="T89" s="17">
        <v>158</v>
      </c>
      <c r="U89" s="17">
        <v>105</v>
      </c>
      <c r="V89" s="17">
        <v>17042</v>
      </c>
      <c r="W89" s="17">
        <v>6728</v>
      </c>
      <c r="X89" s="17">
        <v>10958</v>
      </c>
      <c r="Y89" s="17">
        <v>2493</v>
      </c>
      <c r="Z89" s="17">
        <v>11171</v>
      </c>
      <c r="AA89" s="17">
        <v>11386</v>
      </c>
      <c r="AB89" s="17">
        <v>2848</v>
      </c>
      <c r="AC89" s="17">
        <v>5656</v>
      </c>
      <c r="AD89" s="17">
        <v>3880</v>
      </c>
      <c r="AE89" s="17">
        <v>428</v>
      </c>
      <c r="AF89" s="17">
        <v>355</v>
      </c>
      <c r="AG89" s="18">
        <v>0.39478934397371201</v>
      </c>
      <c r="AH89" s="18">
        <v>3.7590022835060598E-2</v>
      </c>
      <c r="AI89" s="18">
        <v>0.66811407111841337</v>
      </c>
      <c r="AJ89" s="19">
        <v>0.18612922347362182</v>
      </c>
      <c r="AK89" s="18">
        <v>0.64299964792864683</v>
      </c>
      <c r="AL89" s="18">
        <v>0.33188592888158669</v>
      </c>
      <c r="AM89" s="19">
        <v>5.9276822762299938E-3</v>
      </c>
      <c r="AN89" s="19">
        <v>2.4303497332542976E-2</v>
      </c>
      <c r="AO89" s="19">
        <v>9.3657379964433907E-2</v>
      </c>
      <c r="AP89" s="19">
        <v>6.2240663900414939E-2</v>
      </c>
      <c r="AQ89" s="20">
        <v>7.0300207690855307E-2</v>
      </c>
      <c r="AR89" s="20">
        <v>0.51206322795341097</v>
      </c>
      <c r="AS89" s="20">
        <v>0.55078341652800888</v>
      </c>
      <c r="AT89" s="20">
        <v>0.44921658347199112</v>
      </c>
      <c r="AU89" s="21" t="s">
        <v>294</v>
      </c>
      <c r="AV89" s="21" t="s">
        <v>107</v>
      </c>
    </row>
    <row r="90" spans="1:48" x14ac:dyDescent="0.35">
      <c r="A90" t="s">
        <v>204</v>
      </c>
      <c r="B90" t="s">
        <v>181</v>
      </c>
      <c r="C90" t="s">
        <v>201</v>
      </c>
      <c r="D90" s="17">
        <v>12593</v>
      </c>
      <c r="E90" s="17">
        <v>2091</v>
      </c>
      <c r="F90" s="17">
        <v>10502</v>
      </c>
      <c r="G90" s="17">
        <v>561</v>
      </c>
      <c r="H90" s="17">
        <v>12624</v>
      </c>
      <c r="I90" s="17">
        <v>732</v>
      </c>
      <c r="J90" s="17">
        <v>489</v>
      </c>
      <c r="K90" s="17">
        <v>235</v>
      </c>
      <c r="L90" s="17">
        <v>82</v>
      </c>
      <c r="M90" s="17">
        <v>196</v>
      </c>
      <c r="N90" s="17">
        <v>55</v>
      </c>
      <c r="O90" s="17">
        <v>10835</v>
      </c>
      <c r="P90" s="17">
        <v>1881</v>
      </c>
      <c r="Q90" s="17">
        <v>122</v>
      </c>
      <c r="R90" s="17">
        <v>0</v>
      </c>
      <c r="S90" s="17">
        <v>0</v>
      </c>
      <c r="T90" s="17">
        <v>0</v>
      </c>
      <c r="U90" s="17">
        <v>122</v>
      </c>
      <c r="V90" s="17">
        <v>11045</v>
      </c>
      <c r="W90" s="17">
        <v>935</v>
      </c>
      <c r="X90" s="17">
        <v>9724</v>
      </c>
      <c r="Y90" s="17">
        <v>300</v>
      </c>
      <c r="Z90" s="17">
        <v>1789</v>
      </c>
      <c r="AA90" s="17">
        <v>10231</v>
      </c>
      <c r="AB90" s="17">
        <v>355</v>
      </c>
      <c r="AC90" s="17">
        <v>814</v>
      </c>
      <c r="AD90" s="17">
        <v>580</v>
      </c>
      <c r="AE90" s="17">
        <v>507</v>
      </c>
      <c r="AF90" s="17">
        <v>55</v>
      </c>
      <c r="AG90" s="18">
        <v>8.4653689452240832E-2</v>
      </c>
      <c r="AH90" s="18">
        <v>4.9555273189326558E-2</v>
      </c>
      <c r="AI90" s="18">
        <v>0.92630149388863736</v>
      </c>
      <c r="AJ90" s="19">
        <v>6.4859117490696436E-2</v>
      </c>
      <c r="AK90" s="18">
        <v>0.8803983703033047</v>
      </c>
      <c r="AL90" s="18">
        <v>7.3698506111362611E-2</v>
      </c>
      <c r="AM90" s="19">
        <v>0</v>
      </c>
      <c r="AN90" s="19">
        <v>0</v>
      </c>
      <c r="AO90" s="19">
        <v>0</v>
      </c>
      <c r="AP90" s="19">
        <v>6.4859117490696436E-2</v>
      </c>
      <c r="AQ90" s="20">
        <v>5.3418396495905539E-2</v>
      </c>
      <c r="AR90" s="20">
        <v>0.78940681330898121</v>
      </c>
      <c r="AS90" s="20">
        <v>0.83395537203208137</v>
      </c>
      <c r="AT90" s="20">
        <v>0.16604462796791869</v>
      </c>
      <c r="AU90" s="21" t="s">
        <v>295</v>
      </c>
      <c r="AV90" s="21" t="s">
        <v>107</v>
      </c>
    </row>
    <row r="91" spans="1:48" x14ac:dyDescent="0.35">
      <c r="A91" t="s">
        <v>128</v>
      </c>
      <c r="B91" t="s">
        <v>181</v>
      </c>
      <c r="C91" t="s">
        <v>201</v>
      </c>
      <c r="D91" s="17">
        <v>41847</v>
      </c>
      <c r="E91" s="17">
        <v>10750</v>
      </c>
      <c r="F91" s="17">
        <v>30753</v>
      </c>
      <c r="G91" s="17">
        <v>1341</v>
      </c>
      <c r="H91" s="17">
        <v>41163</v>
      </c>
      <c r="I91" s="17">
        <v>2965</v>
      </c>
      <c r="J91" s="17">
        <v>3311</v>
      </c>
      <c r="K91" s="17">
        <v>1594</v>
      </c>
      <c r="L91" s="17">
        <v>1485</v>
      </c>
      <c r="M91" s="17">
        <v>942</v>
      </c>
      <c r="N91" s="17">
        <v>487</v>
      </c>
      <c r="O91" s="17">
        <v>30379</v>
      </c>
      <c r="P91" s="17">
        <v>6535</v>
      </c>
      <c r="Q91" s="17">
        <v>463</v>
      </c>
      <c r="R91" s="17">
        <v>0</v>
      </c>
      <c r="S91" s="17">
        <v>363</v>
      </c>
      <c r="T91" s="17">
        <v>81</v>
      </c>
      <c r="U91" s="17">
        <v>19</v>
      </c>
      <c r="V91" s="17">
        <v>34752</v>
      </c>
      <c r="W91" s="17">
        <v>4352</v>
      </c>
      <c r="X91" s="17">
        <v>28196</v>
      </c>
      <c r="Y91" s="17">
        <v>1663</v>
      </c>
      <c r="Z91" s="17">
        <v>10784</v>
      </c>
      <c r="AA91" s="17">
        <v>29417</v>
      </c>
      <c r="AB91" s="17">
        <v>2112</v>
      </c>
      <c r="AC91" s="17">
        <v>5172</v>
      </c>
      <c r="AD91" s="17">
        <v>2240</v>
      </c>
      <c r="AE91" s="17">
        <v>1221</v>
      </c>
      <c r="AF91" s="17">
        <v>449</v>
      </c>
      <c r="AG91" s="18">
        <v>0.12523020257826889</v>
      </c>
      <c r="AH91" s="18">
        <v>4.1506611823095486E-2</v>
      </c>
      <c r="AI91" s="18">
        <v>0.84648365561694294</v>
      </c>
      <c r="AJ91" s="19">
        <v>7.084927314460597E-2</v>
      </c>
      <c r="AK91" s="18">
        <v>0.81134898710865566</v>
      </c>
      <c r="AL91" s="18">
        <v>0.14882596685082872</v>
      </c>
      <c r="AM91" s="19">
        <v>0</v>
      </c>
      <c r="AN91" s="19">
        <v>5.5547054322876814E-2</v>
      </c>
      <c r="AO91" s="19">
        <v>1.2394797245600612E-2</v>
      </c>
      <c r="AP91" s="19">
        <v>2.9074215761285389E-3</v>
      </c>
      <c r="AQ91" s="20">
        <v>4.3605501902253437E-2</v>
      </c>
      <c r="AR91" s="20">
        <v>0.70284608215642697</v>
      </c>
      <c r="AS91" s="20">
        <v>0.73489139006380388</v>
      </c>
      <c r="AT91" s="20">
        <v>0.25688818792267071</v>
      </c>
      <c r="AU91" s="21" t="s">
        <v>296</v>
      </c>
      <c r="AV91" s="21" t="s">
        <v>107</v>
      </c>
    </row>
    <row r="92" spans="1:48" x14ac:dyDescent="0.35">
      <c r="A92" t="s">
        <v>205</v>
      </c>
      <c r="B92" t="s">
        <v>181</v>
      </c>
      <c r="C92" t="s">
        <v>201</v>
      </c>
      <c r="D92" s="17">
        <v>47962</v>
      </c>
      <c r="E92" s="17">
        <v>9165</v>
      </c>
      <c r="F92" s="17">
        <v>38763</v>
      </c>
      <c r="G92" s="17">
        <v>2308</v>
      </c>
      <c r="H92" s="17">
        <v>47434</v>
      </c>
      <c r="I92" s="17">
        <v>3741</v>
      </c>
      <c r="J92" s="17">
        <v>2201</v>
      </c>
      <c r="K92" s="17">
        <v>1237</v>
      </c>
      <c r="L92" s="17">
        <v>916</v>
      </c>
      <c r="M92" s="17">
        <v>1630</v>
      </c>
      <c r="N92" s="17">
        <v>898</v>
      </c>
      <c r="O92" s="17">
        <v>36811</v>
      </c>
      <c r="P92" s="17">
        <v>5544</v>
      </c>
      <c r="Q92" s="17">
        <v>362</v>
      </c>
      <c r="R92" s="17">
        <v>31</v>
      </c>
      <c r="S92" s="17">
        <v>190</v>
      </c>
      <c r="T92" s="17">
        <v>86</v>
      </c>
      <c r="U92" s="17">
        <v>55</v>
      </c>
      <c r="V92" s="17">
        <v>41482</v>
      </c>
      <c r="W92" s="17">
        <v>4438</v>
      </c>
      <c r="X92" s="17">
        <v>35177</v>
      </c>
      <c r="Y92" s="17">
        <v>1793</v>
      </c>
      <c r="Z92" s="17">
        <v>10623</v>
      </c>
      <c r="AA92" s="17">
        <v>37220</v>
      </c>
      <c r="AB92" s="17">
        <v>2596</v>
      </c>
      <c r="AC92" s="17">
        <v>4228</v>
      </c>
      <c r="AD92" s="17">
        <v>1842</v>
      </c>
      <c r="AE92" s="17">
        <v>2043</v>
      </c>
      <c r="AF92" s="17">
        <v>803</v>
      </c>
      <c r="AG92" s="18">
        <v>0.10698616267296658</v>
      </c>
      <c r="AH92" s="18">
        <v>5.488984416980118E-2</v>
      </c>
      <c r="AI92" s="18">
        <v>0.89725664143483919</v>
      </c>
      <c r="AJ92" s="19">
        <v>6.5295815295815296E-2</v>
      </c>
      <c r="AK92" s="18">
        <v>0.84800636420616171</v>
      </c>
      <c r="AL92" s="18">
        <v>0.10192372595342558</v>
      </c>
      <c r="AM92" s="19">
        <v>5.591630591630592E-3</v>
      </c>
      <c r="AN92" s="19">
        <v>3.4271284271284272E-2</v>
      </c>
      <c r="AO92" s="19">
        <v>1.5512265512265512E-2</v>
      </c>
      <c r="AP92" s="19">
        <v>9.9206349206349201E-3</v>
      </c>
      <c r="AQ92" s="20">
        <v>5.9541315171684338E-2</v>
      </c>
      <c r="AR92" s="20">
        <v>0.76008089737709017</v>
      </c>
      <c r="AS92" s="20">
        <v>0.80820232684208326</v>
      </c>
      <c r="AT92" s="20">
        <v>0.19108877861640466</v>
      </c>
      <c r="AU92" s="21" t="s">
        <v>297</v>
      </c>
      <c r="AV92" s="21" t="s">
        <v>107</v>
      </c>
    </row>
    <row r="93" spans="1:48" x14ac:dyDescent="0.35">
      <c r="A93" t="s">
        <v>152</v>
      </c>
      <c r="B93" t="s">
        <v>181</v>
      </c>
      <c r="C93" t="s">
        <v>206</v>
      </c>
      <c r="D93" s="17">
        <v>469</v>
      </c>
      <c r="E93" s="17">
        <v>102</v>
      </c>
      <c r="F93" s="17">
        <v>367</v>
      </c>
      <c r="G93" s="17">
        <v>0</v>
      </c>
      <c r="H93" s="17">
        <v>497</v>
      </c>
      <c r="I93" s="17">
        <v>6</v>
      </c>
      <c r="J93" s="17">
        <v>15</v>
      </c>
      <c r="K93" s="17">
        <v>53</v>
      </c>
      <c r="L93" s="17">
        <v>0</v>
      </c>
      <c r="M93" s="17">
        <v>30</v>
      </c>
      <c r="N93" s="17">
        <v>0</v>
      </c>
      <c r="O93" s="17">
        <v>393</v>
      </c>
      <c r="P93" s="17">
        <v>76</v>
      </c>
      <c r="Q93" s="17">
        <v>0</v>
      </c>
      <c r="R93" s="17">
        <v>0</v>
      </c>
      <c r="S93" s="17">
        <v>0</v>
      </c>
      <c r="T93" s="17">
        <v>0</v>
      </c>
      <c r="U93" s="17">
        <v>0</v>
      </c>
      <c r="V93" s="17">
        <v>389</v>
      </c>
      <c r="W93" s="17">
        <v>13</v>
      </c>
      <c r="X93" s="17">
        <v>361</v>
      </c>
      <c r="Y93" s="17">
        <v>7</v>
      </c>
      <c r="Z93" s="17">
        <v>104</v>
      </c>
      <c r="AA93" s="17">
        <v>361</v>
      </c>
      <c r="AB93" s="17">
        <v>7</v>
      </c>
      <c r="AC93" s="17">
        <v>28</v>
      </c>
      <c r="AD93" s="17">
        <v>6</v>
      </c>
      <c r="AE93" s="17">
        <v>0</v>
      </c>
      <c r="AF93" s="17">
        <v>0</v>
      </c>
      <c r="AG93" s="18">
        <v>3.3419023136246784E-2</v>
      </c>
      <c r="AH93" s="18">
        <v>0</v>
      </c>
      <c r="AI93" s="18">
        <v>0.92802056555269918</v>
      </c>
      <c r="AJ93" s="19">
        <v>0</v>
      </c>
      <c r="AK93" s="18">
        <v>0.92802056555269918</v>
      </c>
      <c r="AL93" s="18">
        <v>7.1979434447300775E-2</v>
      </c>
      <c r="AM93" s="19">
        <v>0</v>
      </c>
      <c r="AN93" s="19">
        <v>0</v>
      </c>
      <c r="AO93" s="19">
        <v>0</v>
      </c>
      <c r="AP93" s="19">
        <v>0</v>
      </c>
      <c r="AQ93" s="20">
        <v>0</v>
      </c>
      <c r="AR93" s="20">
        <v>0.78251599147121531</v>
      </c>
      <c r="AS93" s="20">
        <v>0.78251599147121531</v>
      </c>
      <c r="AT93" s="20">
        <v>0.21748400852878466</v>
      </c>
      <c r="AU93" s="21" t="s">
        <v>298</v>
      </c>
      <c r="AV93" s="21" t="s">
        <v>107</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B6C40-B3DD-49A9-906B-7A4400D6D4CE}">
  <dimension ref="B1:G59"/>
  <sheetViews>
    <sheetView workbookViewId="0">
      <selection activeCell="C7" sqref="C7"/>
    </sheetView>
  </sheetViews>
  <sheetFormatPr defaultRowHeight="14.5" x14ac:dyDescent="0.35"/>
  <cols>
    <col min="2" max="2" width="32.7265625" bestFit="1" customWidth="1"/>
    <col min="3" max="3" width="18.6328125" bestFit="1" customWidth="1"/>
    <col min="4" max="4" width="33.90625" bestFit="1" customWidth="1"/>
    <col min="5" max="5" width="36.6328125" bestFit="1" customWidth="1"/>
    <col min="6" max="6" width="47.81640625" bestFit="1" customWidth="1"/>
    <col min="7" max="7" width="41.36328125" bestFit="1" customWidth="1"/>
  </cols>
  <sheetData>
    <row r="1" spans="2:7" x14ac:dyDescent="0.35">
      <c r="B1" s="43" t="s">
        <v>341</v>
      </c>
      <c r="C1" s="43"/>
    </row>
    <row r="3" spans="2:7" x14ac:dyDescent="0.35">
      <c r="B3" s="36" t="s">
        <v>70</v>
      </c>
      <c r="C3" s="37" t="s">
        <v>105</v>
      </c>
    </row>
    <row r="5" spans="2:7" x14ac:dyDescent="0.35">
      <c r="B5" s="36" t="s">
        <v>300</v>
      </c>
      <c r="C5" s="37" t="s">
        <v>323</v>
      </c>
      <c r="D5" s="37" t="s">
        <v>324</v>
      </c>
      <c r="E5" s="37" t="s">
        <v>325</v>
      </c>
      <c r="F5" s="37" t="s">
        <v>326</v>
      </c>
      <c r="G5" s="37" t="s">
        <v>327</v>
      </c>
    </row>
    <row r="6" spans="2:7" x14ac:dyDescent="0.35">
      <c r="B6" s="37" t="s">
        <v>144</v>
      </c>
      <c r="C6" s="37">
        <v>10477</v>
      </c>
      <c r="D6" s="37">
        <v>3322</v>
      </c>
      <c r="E6" s="37">
        <v>7155</v>
      </c>
      <c r="F6" s="37">
        <v>191</v>
      </c>
      <c r="G6" s="37">
        <v>11920</v>
      </c>
    </row>
    <row r="7" spans="2:7" x14ac:dyDescent="0.35">
      <c r="B7" s="37" t="s">
        <v>140</v>
      </c>
      <c r="C7" s="37">
        <v>4819</v>
      </c>
      <c r="D7" s="37">
        <v>1571</v>
      </c>
      <c r="E7" s="37">
        <v>3248</v>
      </c>
      <c r="F7" s="37">
        <v>95</v>
      </c>
      <c r="G7" s="37">
        <v>6105</v>
      </c>
    </row>
    <row r="8" spans="2:7" x14ac:dyDescent="0.35">
      <c r="B8" s="37" t="s">
        <v>116</v>
      </c>
      <c r="C8" s="37">
        <v>10105</v>
      </c>
      <c r="D8" s="37">
        <v>1484</v>
      </c>
      <c r="E8" s="37">
        <v>8621</v>
      </c>
      <c r="F8" s="37">
        <v>557</v>
      </c>
      <c r="G8" s="37">
        <v>11165</v>
      </c>
    </row>
    <row r="9" spans="2:7" x14ac:dyDescent="0.35">
      <c r="B9" s="37" t="s">
        <v>156</v>
      </c>
      <c r="C9" s="37">
        <v>7651</v>
      </c>
      <c r="D9" s="37">
        <v>2567</v>
      </c>
      <c r="E9" s="37">
        <v>5084</v>
      </c>
      <c r="F9" s="37">
        <v>90</v>
      </c>
      <c r="G9" s="37">
        <v>9301</v>
      </c>
    </row>
    <row r="10" spans="2:7" x14ac:dyDescent="0.35">
      <c r="B10" s="37" t="s">
        <v>127</v>
      </c>
      <c r="C10" s="37">
        <v>11126</v>
      </c>
      <c r="D10" s="37">
        <v>2202</v>
      </c>
      <c r="E10" s="37">
        <v>8904</v>
      </c>
      <c r="F10" s="37">
        <v>246</v>
      </c>
      <c r="G10" s="37">
        <v>11281</v>
      </c>
    </row>
    <row r="11" spans="2:7" x14ac:dyDescent="0.35">
      <c r="B11" s="37" t="s">
        <v>109</v>
      </c>
      <c r="C11" s="37">
        <v>13260</v>
      </c>
      <c r="D11" s="37">
        <v>4753</v>
      </c>
      <c r="E11" s="37">
        <v>8507</v>
      </c>
      <c r="F11" s="37">
        <v>356</v>
      </c>
      <c r="G11" s="37">
        <v>15645</v>
      </c>
    </row>
    <row r="12" spans="2:7" x14ac:dyDescent="0.35">
      <c r="B12" s="37" t="s">
        <v>169</v>
      </c>
      <c r="C12" s="37">
        <v>26180</v>
      </c>
      <c r="D12" s="37">
        <v>3347</v>
      </c>
      <c r="E12" s="37">
        <v>22833</v>
      </c>
      <c r="F12" s="37">
        <v>1209</v>
      </c>
      <c r="G12" s="37">
        <v>26700</v>
      </c>
    </row>
    <row r="13" spans="2:7" x14ac:dyDescent="0.35">
      <c r="B13" s="37" t="s">
        <v>122</v>
      </c>
      <c r="C13" s="37">
        <v>27801</v>
      </c>
      <c r="D13" s="37">
        <v>4791</v>
      </c>
      <c r="E13" s="37">
        <v>22974</v>
      </c>
      <c r="F13" s="37">
        <v>1177</v>
      </c>
      <c r="G13" s="37">
        <v>27955</v>
      </c>
    </row>
    <row r="14" spans="2:7" x14ac:dyDescent="0.35">
      <c r="B14" s="37" t="s">
        <v>108</v>
      </c>
      <c r="C14" s="37">
        <v>12513</v>
      </c>
      <c r="D14" s="37">
        <v>3677</v>
      </c>
      <c r="E14" s="37">
        <v>8836</v>
      </c>
      <c r="F14" s="37">
        <v>259</v>
      </c>
      <c r="G14" s="37">
        <v>14445</v>
      </c>
    </row>
    <row r="15" spans="2:7" x14ac:dyDescent="0.35">
      <c r="B15" s="37" t="s">
        <v>166</v>
      </c>
      <c r="C15" s="37">
        <v>19601</v>
      </c>
      <c r="D15" s="37">
        <v>4361</v>
      </c>
      <c r="E15" s="37">
        <v>15193</v>
      </c>
      <c r="F15" s="37">
        <v>737</v>
      </c>
      <c r="G15" s="37">
        <v>21480</v>
      </c>
    </row>
    <row r="16" spans="2:7" x14ac:dyDescent="0.35">
      <c r="B16" s="37" t="s">
        <v>160</v>
      </c>
      <c r="C16" s="37">
        <v>17537</v>
      </c>
      <c r="D16" s="37">
        <v>4634</v>
      </c>
      <c r="E16" s="37">
        <v>12903</v>
      </c>
      <c r="F16" s="37">
        <v>244</v>
      </c>
      <c r="G16" s="37">
        <v>21059</v>
      </c>
    </row>
    <row r="17" spans="2:7" x14ac:dyDescent="0.35">
      <c r="B17" s="37" t="s">
        <v>129</v>
      </c>
      <c r="C17" s="37">
        <v>6155</v>
      </c>
      <c r="D17" s="37">
        <v>2053</v>
      </c>
      <c r="E17" s="37">
        <v>4057</v>
      </c>
      <c r="F17" s="37">
        <v>154</v>
      </c>
      <c r="G17" s="37">
        <v>6163</v>
      </c>
    </row>
    <row r="18" spans="2:7" x14ac:dyDescent="0.35">
      <c r="B18" s="37" t="s">
        <v>154</v>
      </c>
      <c r="C18" s="37">
        <v>3147</v>
      </c>
      <c r="D18" s="37">
        <v>636</v>
      </c>
      <c r="E18" s="37">
        <v>2317</v>
      </c>
      <c r="F18" s="37">
        <v>127</v>
      </c>
      <c r="G18" s="37">
        <v>3165</v>
      </c>
    </row>
    <row r="19" spans="2:7" x14ac:dyDescent="0.35">
      <c r="B19" s="37" t="s">
        <v>142</v>
      </c>
      <c r="C19" s="37">
        <v>12592</v>
      </c>
      <c r="D19" s="37">
        <v>3294</v>
      </c>
      <c r="E19" s="37">
        <v>9298</v>
      </c>
      <c r="F19" s="37">
        <v>297</v>
      </c>
      <c r="G19" s="37">
        <v>15042</v>
      </c>
    </row>
    <row r="20" spans="2:7" x14ac:dyDescent="0.35">
      <c r="B20" s="37" t="s">
        <v>167</v>
      </c>
      <c r="C20" s="37">
        <v>18702</v>
      </c>
      <c r="D20" s="37">
        <v>6039</v>
      </c>
      <c r="E20" s="37">
        <v>12663</v>
      </c>
      <c r="F20" s="37">
        <v>885</v>
      </c>
      <c r="G20" s="37">
        <v>16492</v>
      </c>
    </row>
    <row r="21" spans="2:7" x14ac:dyDescent="0.35">
      <c r="B21" s="37" t="s">
        <v>119</v>
      </c>
      <c r="C21" s="37">
        <v>17122</v>
      </c>
      <c r="D21" s="37">
        <v>2510</v>
      </c>
      <c r="E21" s="37">
        <v>14584</v>
      </c>
      <c r="F21" s="37">
        <v>434</v>
      </c>
      <c r="G21" s="37">
        <v>18373</v>
      </c>
    </row>
    <row r="22" spans="2:7" x14ac:dyDescent="0.35">
      <c r="B22" s="37" t="s">
        <v>153</v>
      </c>
      <c r="C22" s="37">
        <v>1066</v>
      </c>
      <c r="D22" s="37">
        <v>167</v>
      </c>
      <c r="E22" s="37">
        <v>899</v>
      </c>
      <c r="F22" s="37">
        <v>6</v>
      </c>
      <c r="G22" s="37">
        <v>1181</v>
      </c>
    </row>
    <row r="23" spans="2:7" x14ac:dyDescent="0.35">
      <c r="B23" s="37" t="s">
        <v>113</v>
      </c>
      <c r="C23" s="37">
        <v>15265</v>
      </c>
      <c r="D23" s="37">
        <v>3477</v>
      </c>
      <c r="E23" s="37">
        <v>11779</v>
      </c>
      <c r="F23" s="37">
        <v>498</v>
      </c>
      <c r="G23" s="37">
        <v>17425</v>
      </c>
    </row>
    <row r="24" spans="2:7" x14ac:dyDescent="0.35">
      <c r="B24" s="37" t="s">
        <v>112</v>
      </c>
      <c r="C24" s="37">
        <v>23396</v>
      </c>
      <c r="D24" s="37">
        <v>4985</v>
      </c>
      <c r="E24" s="37">
        <v>18381</v>
      </c>
      <c r="F24" s="37">
        <v>565</v>
      </c>
      <c r="G24" s="37">
        <v>26912</v>
      </c>
    </row>
    <row r="25" spans="2:7" x14ac:dyDescent="0.35">
      <c r="B25" s="37" t="s">
        <v>114</v>
      </c>
      <c r="C25" s="37">
        <v>8986</v>
      </c>
      <c r="D25" s="37">
        <v>2220</v>
      </c>
      <c r="E25" s="37">
        <v>6766</v>
      </c>
      <c r="F25" s="37">
        <v>316</v>
      </c>
      <c r="G25" s="37">
        <v>10866</v>
      </c>
    </row>
    <row r="26" spans="2:7" x14ac:dyDescent="0.35">
      <c r="B26" s="37" t="s">
        <v>147</v>
      </c>
      <c r="C26" s="37">
        <v>7061</v>
      </c>
      <c r="D26" s="37">
        <v>2276</v>
      </c>
      <c r="E26" s="37">
        <v>4785</v>
      </c>
      <c r="F26" s="37">
        <v>195</v>
      </c>
      <c r="G26" s="37">
        <v>9132</v>
      </c>
    </row>
    <row r="27" spans="2:7" x14ac:dyDescent="0.35">
      <c r="B27" s="37" t="s">
        <v>150</v>
      </c>
      <c r="C27" s="37">
        <v>6775</v>
      </c>
      <c r="D27" s="37">
        <v>2242</v>
      </c>
      <c r="E27" s="37">
        <v>4517</v>
      </c>
      <c r="F27" s="37">
        <v>174</v>
      </c>
      <c r="G27" s="37">
        <v>8130</v>
      </c>
    </row>
    <row r="28" spans="2:7" x14ac:dyDescent="0.35">
      <c r="B28" s="37" t="s">
        <v>125</v>
      </c>
      <c r="C28" s="37">
        <v>10731</v>
      </c>
      <c r="D28" s="37">
        <v>1708</v>
      </c>
      <c r="E28" s="37">
        <v>8956</v>
      </c>
      <c r="F28" s="37">
        <v>308</v>
      </c>
      <c r="G28" s="37">
        <v>11990</v>
      </c>
    </row>
    <row r="29" spans="2:7" x14ac:dyDescent="0.35">
      <c r="B29" s="37" t="s">
        <v>165</v>
      </c>
      <c r="C29" s="37">
        <v>3788</v>
      </c>
      <c r="D29" s="37">
        <v>1146</v>
      </c>
      <c r="E29" s="37">
        <v>2605</v>
      </c>
      <c r="F29" s="37">
        <v>194</v>
      </c>
      <c r="G29" s="37">
        <v>4222</v>
      </c>
    </row>
    <row r="30" spans="2:7" x14ac:dyDescent="0.35">
      <c r="B30" s="37" t="s">
        <v>178</v>
      </c>
      <c r="C30" s="37">
        <v>8634</v>
      </c>
      <c r="D30" s="37">
        <v>3120</v>
      </c>
      <c r="E30" s="37">
        <v>5485</v>
      </c>
      <c r="F30" s="37">
        <v>226</v>
      </c>
      <c r="G30" s="37">
        <v>11147</v>
      </c>
    </row>
    <row r="31" spans="2:7" x14ac:dyDescent="0.35">
      <c r="B31" s="37" t="s">
        <v>111</v>
      </c>
      <c r="C31" s="37">
        <v>8798</v>
      </c>
      <c r="D31" s="37">
        <v>1895</v>
      </c>
      <c r="E31" s="37">
        <v>6903</v>
      </c>
      <c r="F31" s="37">
        <v>267</v>
      </c>
      <c r="G31" s="37">
        <v>9597</v>
      </c>
    </row>
    <row r="32" spans="2:7" x14ac:dyDescent="0.35">
      <c r="B32" s="37" t="s">
        <v>172</v>
      </c>
      <c r="C32" s="37">
        <v>4933</v>
      </c>
      <c r="D32" s="37">
        <v>1920</v>
      </c>
      <c r="E32" s="37">
        <v>3013</v>
      </c>
      <c r="F32" s="37">
        <v>441</v>
      </c>
      <c r="G32" s="37">
        <v>5762</v>
      </c>
    </row>
    <row r="33" spans="2:7" x14ac:dyDescent="0.35">
      <c r="B33" s="37" t="s">
        <v>163</v>
      </c>
      <c r="C33" s="37">
        <v>10072</v>
      </c>
      <c r="D33" s="37">
        <v>3485</v>
      </c>
      <c r="E33" s="37">
        <v>6510</v>
      </c>
      <c r="F33" s="37">
        <v>236</v>
      </c>
      <c r="G33" s="37">
        <v>11733</v>
      </c>
    </row>
    <row r="34" spans="2:7" x14ac:dyDescent="0.35">
      <c r="B34" s="37" t="s">
        <v>123</v>
      </c>
      <c r="C34" s="37">
        <v>10603</v>
      </c>
      <c r="D34" s="37">
        <v>3210</v>
      </c>
      <c r="E34" s="37">
        <v>7393</v>
      </c>
      <c r="F34" s="37">
        <v>144</v>
      </c>
      <c r="G34" s="37">
        <v>13750</v>
      </c>
    </row>
    <row r="35" spans="2:7" x14ac:dyDescent="0.35">
      <c r="B35" s="37" t="s">
        <v>171</v>
      </c>
      <c r="C35" s="37">
        <v>7298</v>
      </c>
      <c r="D35" s="37">
        <v>2219</v>
      </c>
      <c r="E35" s="37">
        <v>5079</v>
      </c>
      <c r="F35" s="37">
        <v>168</v>
      </c>
      <c r="G35" s="37">
        <v>8233</v>
      </c>
    </row>
    <row r="36" spans="2:7" x14ac:dyDescent="0.35">
      <c r="B36" s="37" t="s">
        <v>173</v>
      </c>
      <c r="C36" s="37">
        <v>8940</v>
      </c>
      <c r="D36" s="37">
        <v>2045</v>
      </c>
      <c r="E36" s="37">
        <v>6895</v>
      </c>
      <c r="F36" s="37">
        <v>391</v>
      </c>
      <c r="G36" s="37">
        <v>10314</v>
      </c>
    </row>
    <row r="37" spans="2:7" x14ac:dyDescent="0.35">
      <c r="B37" s="37" t="s">
        <v>162</v>
      </c>
      <c r="C37" s="37">
        <v>5939</v>
      </c>
      <c r="D37" s="37">
        <v>1552</v>
      </c>
      <c r="E37" s="37">
        <v>4387</v>
      </c>
      <c r="F37" s="37">
        <v>128</v>
      </c>
      <c r="G37" s="37">
        <v>7179</v>
      </c>
    </row>
    <row r="38" spans="2:7" x14ac:dyDescent="0.35">
      <c r="B38" s="37" t="s">
        <v>115</v>
      </c>
      <c r="C38" s="37">
        <v>10485</v>
      </c>
      <c r="D38" s="37">
        <v>2784</v>
      </c>
      <c r="E38" s="37">
        <v>7654</v>
      </c>
      <c r="F38" s="37">
        <v>343</v>
      </c>
      <c r="G38" s="37">
        <v>12716</v>
      </c>
    </row>
    <row r="39" spans="2:7" x14ac:dyDescent="0.35">
      <c r="B39" s="37" t="s">
        <v>157</v>
      </c>
      <c r="C39" s="37">
        <v>13743</v>
      </c>
      <c r="D39" s="37">
        <v>3562</v>
      </c>
      <c r="E39" s="37">
        <v>10167</v>
      </c>
      <c r="F39" s="37">
        <v>305</v>
      </c>
      <c r="G39" s="37">
        <v>15184</v>
      </c>
    </row>
    <row r="40" spans="2:7" x14ac:dyDescent="0.35">
      <c r="B40" s="37" t="s">
        <v>170</v>
      </c>
      <c r="C40" s="37">
        <v>4420</v>
      </c>
      <c r="D40" s="37">
        <v>855</v>
      </c>
      <c r="E40" s="37">
        <v>3565</v>
      </c>
      <c r="F40" s="37">
        <v>153</v>
      </c>
      <c r="G40" s="37">
        <v>4773</v>
      </c>
    </row>
    <row r="41" spans="2:7" x14ac:dyDescent="0.35">
      <c r="B41" s="37" t="s">
        <v>145</v>
      </c>
      <c r="C41" s="37">
        <v>5273</v>
      </c>
      <c r="D41" s="37">
        <v>1280</v>
      </c>
      <c r="E41" s="37">
        <v>3933</v>
      </c>
      <c r="F41" s="37">
        <v>308</v>
      </c>
      <c r="G41" s="37">
        <v>5803</v>
      </c>
    </row>
    <row r="42" spans="2:7" x14ac:dyDescent="0.35">
      <c r="B42" s="37" t="s">
        <v>179</v>
      </c>
      <c r="C42" s="37">
        <v>15064</v>
      </c>
      <c r="D42" s="37">
        <v>4879</v>
      </c>
      <c r="E42" s="37">
        <v>10185</v>
      </c>
      <c r="F42" s="37">
        <v>534</v>
      </c>
      <c r="G42" s="37">
        <v>17199</v>
      </c>
    </row>
    <row r="43" spans="2:7" x14ac:dyDescent="0.35">
      <c r="B43" s="37" t="s">
        <v>104</v>
      </c>
      <c r="C43" s="37">
        <v>14516</v>
      </c>
      <c r="D43" s="37">
        <v>3751</v>
      </c>
      <c r="E43" s="37">
        <v>10745</v>
      </c>
      <c r="F43" s="37">
        <v>574</v>
      </c>
      <c r="G43" s="37">
        <v>17039</v>
      </c>
    </row>
    <row r="44" spans="2:7" x14ac:dyDescent="0.35">
      <c r="B44" s="37" t="s">
        <v>130</v>
      </c>
      <c r="C44" s="37">
        <v>6171</v>
      </c>
      <c r="D44" s="37">
        <v>2394</v>
      </c>
      <c r="E44" s="37">
        <v>3728</v>
      </c>
      <c r="F44" s="37">
        <v>239</v>
      </c>
      <c r="G44" s="37">
        <v>6507</v>
      </c>
    </row>
    <row r="45" spans="2:7" x14ac:dyDescent="0.35">
      <c r="B45" s="37" t="s">
        <v>126</v>
      </c>
      <c r="C45" s="37">
        <v>41543</v>
      </c>
      <c r="D45" s="37">
        <v>8781</v>
      </c>
      <c r="E45" s="37">
        <v>32709</v>
      </c>
      <c r="F45" s="37">
        <v>1251</v>
      </c>
      <c r="G45" s="37">
        <v>43869</v>
      </c>
    </row>
    <row r="46" spans="2:7" x14ac:dyDescent="0.35">
      <c r="B46" s="37" t="s">
        <v>158</v>
      </c>
      <c r="C46" s="37">
        <v>12990</v>
      </c>
      <c r="D46" s="37">
        <v>3817</v>
      </c>
      <c r="E46" s="37">
        <v>9139</v>
      </c>
      <c r="F46" s="37">
        <v>401</v>
      </c>
      <c r="G46" s="37">
        <v>15864</v>
      </c>
    </row>
    <row r="47" spans="2:7" x14ac:dyDescent="0.35">
      <c r="B47" s="37" t="s">
        <v>176</v>
      </c>
      <c r="C47" s="37">
        <v>23569</v>
      </c>
      <c r="D47" s="37">
        <v>6669</v>
      </c>
      <c r="E47" s="37">
        <v>16890</v>
      </c>
      <c r="F47" s="37">
        <v>550</v>
      </c>
      <c r="G47" s="37">
        <v>26741</v>
      </c>
    </row>
    <row r="48" spans="2:7" x14ac:dyDescent="0.35">
      <c r="B48" s="37" t="s">
        <v>148</v>
      </c>
      <c r="C48" s="37">
        <v>4058</v>
      </c>
      <c r="D48" s="37">
        <v>812</v>
      </c>
      <c r="E48" s="37">
        <v>3246</v>
      </c>
      <c r="F48" s="37">
        <v>83</v>
      </c>
      <c r="G48" s="37">
        <v>5014</v>
      </c>
    </row>
    <row r="49" spans="2:7" x14ac:dyDescent="0.35">
      <c r="B49" s="37" t="s">
        <v>149</v>
      </c>
      <c r="C49" s="37">
        <v>11901</v>
      </c>
      <c r="D49" s="37">
        <v>2825</v>
      </c>
      <c r="E49" s="37">
        <v>9056</v>
      </c>
      <c r="F49" s="37">
        <v>446</v>
      </c>
      <c r="G49" s="37">
        <v>13846</v>
      </c>
    </row>
    <row r="50" spans="2:7" x14ac:dyDescent="0.35">
      <c r="B50" s="37" t="s">
        <v>161</v>
      </c>
      <c r="C50" s="37">
        <v>8578</v>
      </c>
      <c r="D50" s="37">
        <v>2721</v>
      </c>
      <c r="E50" s="37">
        <v>5857</v>
      </c>
      <c r="F50" s="37">
        <v>153</v>
      </c>
      <c r="G50" s="37">
        <v>10896</v>
      </c>
    </row>
    <row r="51" spans="2:7" x14ac:dyDescent="0.35">
      <c r="B51" s="37" t="s">
        <v>155</v>
      </c>
      <c r="C51" s="37">
        <v>12998</v>
      </c>
      <c r="D51" s="37">
        <v>5002</v>
      </c>
      <c r="E51" s="37">
        <v>7979</v>
      </c>
      <c r="F51" s="37">
        <v>361</v>
      </c>
      <c r="G51" s="37">
        <v>15597</v>
      </c>
    </row>
    <row r="52" spans="2:7" x14ac:dyDescent="0.35">
      <c r="B52" s="37" t="s">
        <v>151</v>
      </c>
      <c r="C52" s="37">
        <v>3281</v>
      </c>
      <c r="D52" s="37">
        <v>793</v>
      </c>
      <c r="E52" s="37">
        <v>2401</v>
      </c>
      <c r="F52" s="37">
        <v>160</v>
      </c>
      <c r="G52" s="37">
        <v>4003</v>
      </c>
    </row>
    <row r="53" spans="2:7" x14ac:dyDescent="0.35">
      <c r="B53" s="37" t="s">
        <v>118</v>
      </c>
      <c r="C53" s="37">
        <v>13443</v>
      </c>
      <c r="D53" s="37">
        <v>3746</v>
      </c>
      <c r="E53" s="37">
        <v>9638</v>
      </c>
      <c r="F53" s="37">
        <v>307</v>
      </c>
      <c r="G53" s="37">
        <v>16151</v>
      </c>
    </row>
    <row r="54" spans="2:7" x14ac:dyDescent="0.35">
      <c r="B54" s="37" t="s">
        <v>175</v>
      </c>
      <c r="C54" s="37">
        <v>22571</v>
      </c>
      <c r="D54" s="37">
        <v>10142</v>
      </c>
      <c r="E54" s="37">
        <v>12429</v>
      </c>
      <c r="F54" s="37">
        <v>1043</v>
      </c>
      <c r="G54" s="37">
        <v>14049</v>
      </c>
    </row>
    <row r="55" spans="2:7" x14ac:dyDescent="0.35">
      <c r="B55" s="37" t="s">
        <v>121</v>
      </c>
      <c r="C55" s="37">
        <v>16349</v>
      </c>
      <c r="D55" s="37">
        <v>3213</v>
      </c>
      <c r="E55" s="37">
        <v>13136</v>
      </c>
      <c r="F55" s="37">
        <v>532</v>
      </c>
      <c r="G55" s="37">
        <v>18422</v>
      </c>
    </row>
    <row r="56" spans="2:7" x14ac:dyDescent="0.35">
      <c r="B56" s="37" t="s">
        <v>177</v>
      </c>
      <c r="C56" s="37">
        <v>14244</v>
      </c>
      <c r="D56" s="37">
        <v>3911</v>
      </c>
      <c r="E56" s="37">
        <v>10320</v>
      </c>
      <c r="F56" s="37">
        <v>393</v>
      </c>
      <c r="G56" s="37">
        <v>17392</v>
      </c>
    </row>
    <row r="57" spans="2:7" x14ac:dyDescent="0.35">
      <c r="B57" s="37" t="s">
        <v>143</v>
      </c>
      <c r="C57" s="37">
        <v>20307</v>
      </c>
      <c r="D57" s="37">
        <v>4876</v>
      </c>
      <c r="E57" s="37">
        <v>15414</v>
      </c>
      <c r="F57" s="37">
        <v>685</v>
      </c>
      <c r="G57" s="37">
        <v>23529</v>
      </c>
    </row>
    <row r="58" spans="2:7" x14ac:dyDescent="0.35">
      <c r="B58" s="37" t="s">
        <v>117</v>
      </c>
      <c r="C58" s="37">
        <v>12384</v>
      </c>
      <c r="D58" s="37">
        <v>2446</v>
      </c>
      <c r="E58" s="37">
        <v>9938</v>
      </c>
      <c r="F58" s="37">
        <v>173</v>
      </c>
      <c r="G58" s="37">
        <v>14552</v>
      </c>
    </row>
    <row r="59" spans="2:7" x14ac:dyDescent="0.35">
      <c r="B59" s="37" t="s">
        <v>299</v>
      </c>
      <c r="C59" s="37">
        <v>648961</v>
      </c>
      <c r="D59" s="37">
        <v>168167</v>
      </c>
      <c r="E59" s="37">
        <v>479659</v>
      </c>
      <c r="F59" s="37">
        <v>20309</v>
      </c>
      <c r="G59" s="37">
        <v>723010</v>
      </c>
    </row>
  </sheetData>
  <mergeCells count="1">
    <mergeCell ref="B1:C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CE682-6A97-497A-812D-3E1B6A35A944}">
  <dimension ref="B1:G16"/>
  <sheetViews>
    <sheetView workbookViewId="0">
      <selection activeCell="C8" sqref="C8"/>
    </sheetView>
  </sheetViews>
  <sheetFormatPr defaultRowHeight="14.5" x14ac:dyDescent="0.35"/>
  <cols>
    <col min="2" max="2" width="22.1796875" bestFit="1" customWidth="1"/>
    <col min="3" max="3" width="28.36328125" bestFit="1" customWidth="1"/>
    <col min="4" max="4" width="35.08984375" bestFit="1" customWidth="1"/>
    <col min="5" max="5" width="38.453125" bestFit="1" customWidth="1"/>
    <col min="6" max="6" width="32.6328125" bestFit="1" customWidth="1"/>
    <col min="7" max="7" width="25.90625" bestFit="1" customWidth="1"/>
  </cols>
  <sheetData>
    <row r="1" spans="2:7" x14ac:dyDescent="0.35">
      <c r="B1" t="s">
        <v>341</v>
      </c>
    </row>
    <row r="3" spans="2:7" x14ac:dyDescent="0.35">
      <c r="B3" s="36" t="s">
        <v>70</v>
      </c>
      <c r="C3" s="37" t="s">
        <v>105</v>
      </c>
    </row>
    <row r="5" spans="2:7" x14ac:dyDescent="0.35">
      <c r="B5" s="36" t="s">
        <v>300</v>
      </c>
      <c r="C5" s="37" t="s">
        <v>328</v>
      </c>
      <c r="D5" s="37" t="s">
        <v>329</v>
      </c>
      <c r="E5" s="37" t="s">
        <v>330</v>
      </c>
      <c r="F5" s="37" t="s">
        <v>331</v>
      </c>
      <c r="G5" s="37" t="s">
        <v>332</v>
      </c>
    </row>
    <row r="6" spans="2:7" x14ac:dyDescent="0.35">
      <c r="B6" s="37" t="s">
        <v>164</v>
      </c>
      <c r="C6" s="38">
        <v>9.4027218005469385E-2</v>
      </c>
      <c r="D6" s="38">
        <v>5.0422906856774585E-2</v>
      </c>
      <c r="E6" s="38">
        <v>0.83550755270139809</v>
      </c>
      <c r="F6" s="38">
        <v>0.79296265588927317</v>
      </c>
      <c r="G6" s="38">
        <v>0.15593149079258506</v>
      </c>
    </row>
    <row r="7" spans="2:7" x14ac:dyDescent="0.35">
      <c r="B7" s="37" t="s">
        <v>146</v>
      </c>
      <c r="C7" s="38">
        <v>8.3475619525671924E-2</v>
      </c>
      <c r="D7" s="38">
        <v>4.3702284181610748E-2</v>
      </c>
      <c r="E7" s="38">
        <v>0.83706748642368323</v>
      </c>
      <c r="F7" s="38">
        <v>0.80069438866886278</v>
      </c>
      <c r="G7" s="38">
        <v>0.15932233669024068</v>
      </c>
    </row>
    <row r="8" spans="2:7" x14ac:dyDescent="0.35">
      <c r="B8" s="37" t="s">
        <v>128</v>
      </c>
      <c r="C8" s="38">
        <v>0.16756415792495194</v>
      </c>
      <c r="D8" s="38">
        <v>4.3184175746220688E-2</v>
      </c>
      <c r="E8" s="38">
        <v>0.79582718560000243</v>
      </c>
      <c r="F8" s="38">
        <v>0.76193656806164345</v>
      </c>
      <c r="G8" s="38">
        <v>0.19692615176124958</v>
      </c>
    </row>
    <row r="9" spans="2:7" x14ac:dyDescent="0.35">
      <c r="B9" s="37" t="s">
        <v>168</v>
      </c>
      <c r="C9" s="38">
        <v>7.6861439112207525E-2</v>
      </c>
      <c r="D9" s="38">
        <v>6.7902803497094807E-2</v>
      </c>
      <c r="E9" s="38">
        <v>0.87025834476904129</v>
      </c>
      <c r="F9" s="38">
        <v>0.81085326210955222</v>
      </c>
      <c r="G9" s="38">
        <v>0.12974165523095868</v>
      </c>
    </row>
    <row r="10" spans="2:7" x14ac:dyDescent="0.35">
      <c r="B10" s="37" t="s">
        <v>152</v>
      </c>
      <c r="C10" s="38">
        <v>0.12590462457899584</v>
      </c>
      <c r="D10" s="38">
        <v>3.7347083958104668E-2</v>
      </c>
      <c r="E10" s="38">
        <v>0.85205393788116524</v>
      </c>
      <c r="F10" s="38">
        <v>0.82064958723327386</v>
      </c>
      <c r="G10" s="38">
        <v>0.14105284533523926</v>
      </c>
    </row>
    <row r="11" spans="2:7" x14ac:dyDescent="0.35">
      <c r="B11" s="37" t="s">
        <v>120</v>
      </c>
      <c r="C11" s="38">
        <v>9.4555903213227654E-2</v>
      </c>
      <c r="D11" s="38">
        <v>3.7212155505001628E-2</v>
      </c>
      <c r="E11" s="38">
        <v>0.89469400743158334</v>
      </c>
      <c r="F11" s="38">
        <v>0.86145392471440685</v>
      </c>
      <c r="G11" s="38">
        <v>0.10421644053291063</v>
      </c>
    </row>
    <row r="12" spans="2:7" x14ac:dyDescent="0.35">
      <c r="B12" s="37" t="s">
        <v>106</v>
      </c>
      <c r="C12" s="38">
        <v>0.10473405129215367</v>
      </c>
      <c r="D12" s="38">
        <v>4.2497768453131031E-2</v>
      </c>
      <c r="E12" s="38">
        <v>0.84721579991972307</v>
      </c>
      <c r="F12" s="38">
        <v>0.81121062272556921</v>
      </c>
      <c r="G12" s="38">
        <v>0.1522111177570013</v>
      </c>
    </row>
    <row r="13" spans="2:7" x14ac:dyDescent="0.35">
      <c r="B13" s="37" t="s">
        <v>174</v>
      </c>
      <c r="C13" s="38">
        <v>0.14881090647736336</v>
      </c>
      <c r="D13" s="38">
        <v>4.0608281392132795E-2</v>
      </c>
      <c r="E13" s="38">
        <v>0.81587688692814075</v>
      </c>
      <c r="F13" s="38">
        <v>0.78272542553248481</v>
      </c>
      <c r="G13" s="38">
        <v>0.1828148649189521</v>
      </c>
    </row>
    <row r="14" spans="2:7" x14ac:dyDescent="0.35">
      <c r="B14" s="37" t="s">
        <v>110</v>
      </c>
      <c r="C14" s="38">
        <v>7.3527226667873341E-2</v>
      </c>
      <c r="D14" s="38">
        <v>3.9603769690692327E-2</v>
      </c>
      <c r="E14" s="38">
        <v>0.86847118017097968</v>
      </c>
      <c r="F14" s="38">
        <v>0.83411211743631475</v>
      </c>
      <c r="G14" s="38">
        <v>0.13107441264417435</v>
      </c>
    </row>
    <row r="15" spans="2:7" x14ac:dyDescent="0.35">
      <c r="B15" s="37" t="s">
        <v>159</v>
      </c>
      <c r="C15" s="38">
        <v>8.5364145376104622E-2</v>
      </c>
      <c r="D15" s="38">
        <v>3.0679659785570811E-2</v>
      </c>
      <c r="E15" s="38">
        <v>0.84677595488602586</v>
      </c>
      <c r="F15" s="38">
        <v>0.8209095200970733</v>
      </c>
      <c r="G15" s="38">
        <v>0.15239469590917365</v>
      </c>
    </row>
    <row r="16" spans="2:7" x14ac:dyDescent="0.35">
      <c r="B16" s="37" t="s">
        <v>299</v>
      </c>
      <c r="C16" s="38">
        <v>0.10459295902860433</v>
      </c>
      <c r="D16" s="38">
        <v>4.3472329913855912E-2</v>
      </c>
      <c r="E16" s="38">
        <v>0.84708406131543923</v>
      </c>
      <c r="F16" s="38">
        <v>0.81028935444515937</v>
      </c>
      <c r="G16" s="38">
        <v>0.14996470965716671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683D-9857-4453-9576-5764E2998113}">
  <dimension ref="B2:J17"/>
  <sheetViews>
    <sheetView workbookViewId="0">
      <selection activeCell="B7" sqref="B7"/>
    </sheetView>
  </sheetViews>
  <sheetFormatPr defaultRowHeight="14.5" x14ac:dyDescent="0.35"/>
  <cols>
    <col min="2" max="2" width="22.54296875" bestFit="1" customWidth="1"/>
    <col min="3" max="3" width="38.08984375" bestFit="1" customWidth="1"/>
    <col min="4" max="4" width="37.7265625" bestFit="1" customWidth="1"/>
    <col min="5" max="5" width="39.7265625" bestFit="1" customWidth="1"/>
    <col min="6" max="6" width="39.26953125" bestFit="1" customWidth="1"/>
    <col min="7" max="8" width="39.7265625" bestFit="1" customWidth="1"/>
    <col min="9" max="9" width="41.26953125" bestFit="1" customWidth="1"/>
    <col min="10" max="10" width="50.1796875" bestFit="1" customWidth="1"/>
  </cols>
  <sheetData>
    <row r="2" spans="2:10" x14ac:dyDescent="0.35">
      <c r="B2" t="s">
        <v>341</v>
      </c>
    </row>
    <row r="4" spans="2:10" x14ac:dyDescent="0.35">
      <c r="B4" s="36" t="s">
        <v>70</v>
      </c>
      <c r="C4" s="37" t="s">
        <v>301</v>
      </c>
    </row>
    <row r="6" spans="2:10" x14ac:dyDescent="0.35">
      <c r="B6" s="36" t="s">
        <v>300</v>
      </c>
      <c r="C6" s="37" t="s">
        <v>333</v>
      </c>
      <c r="D6" s="37" t="s">
        <v>334</v>
      </c>
      <c r="E6" s="37" t="s">
        <v>335</v>
      </c>
      <c r="F6" s="37" t="s">
        <v>336</v>
      </c>
      <c r="G6" s="37" t="s">
        <v>337</v>
      </c>
      <c r="H6" s="37" t="s">
        <v>338</v>
      </c>
      <c r="I6" s="37" t="s">
        <v>339</v>
      </c>
      <c r="J6" s="37" t="s">
        <v>340</v>
      </c>
    </row>
    <row r="7" spans="2:10" x14ac:dyDescent="0.35">
      <c r="B7" s="37" t="s">
        <v>152</v>
      </c>
      <c r="C7" s="37">
        <v>2843</v>
      </c>
      <c r="D7" s="37">
        <v>4432</v>
      </c>
      <c r="E7" s="37">
        <v>2207</v>
      </c>
      <c r="F7" s="37">
        <v>1447</v>
      </c>
      <c r="G7" s="37">
        <v>2208</v>
      </c>
      <c r="H7" s="37">
        <v>519</v>
      </c>
      <c r="I7" s="37">
        <v>34775</v>
      </c>
      <c r="J7" s="37">
        <v>1171</v>
      </c>
    </row>
    <row r="8" spans="2:10" x14ac:dyDescent="0.35">
      <c r="B8" s="37" t="s">
        <v>192</v>
      </c>
      <c r="C8" s="37">
        <v>2331</v>
      </c>
      <c r="D8" s="37">
        <v>3241</v>
      </c>
      <c r="E8" s="37">
        <v>1074</v>
      </c>
      <c r="F8" s="37">
        <v>749</v>
      </c>
      <c r="G8" s="37">
        <v>1572</v>
      </c>
      <c r="H8" s="37">
        <v>472</v>
      </c>
      <c r="I8" s="37">
        <v>48286</v>
      </c>
      <c r="J8" s="37">
        <v>689</v>
      </c>
    </row>
    <row r="9" spans="2:10" x14ac:dyDescent="0.35">
      <c r="B9" s="37" t="s">
        <v>106</v>
      </c>
      <c r="C9" s="37">
        <v>2434</v>
      </c>
      <c r="D9" s="37">
        <v>2588</v>
      </c>
      <c r="E9" s="37">
        <v>1460</v>
      </c>
      <c r="F9" s="37">
        <v>1017</v>
      </c>
      <c r="G9" s="37">
        <v>1450</v>
      </c>
      <c r="H9" s="37">
        <v>569</v>
      </c>
      <c r="I9" s="37">
        <v>39165</v>
      </c>
      <c r="J9" s="37">
        <v>827</v>
      </c>
    </row>
    <row r="10" spans="2:10" x14ac:dyDescent="0.35">
      <c r="B10" s="37" t="s">
        <v>174</v>
      </c>
      <c r="C10" s="37">
        <v>6576</v>
      </c>
      <c r="D10" s="37">
        <v>4005</v>
      </c>
      <c r="E10" s="37">
        <v>1374</v>
      </c>
      <c r="F10" s="37">
        <v>1316</v>
      </c>
      <c r="G10" s="37">
        <v>2044</v>
      </c>
      <c r="H10" s="37">
        <v>944</v>
      </c>
      <c r="I10" s="37">
        <v>63384</v>
      </c>
      <c r="J10" s="37">
        <v>555</v>
      </c>
    </row>
    <row r="11" spans="2:10" x14ac:dyDescent="0.35">
      <c r="B11" s="37" t="s">
        <v>110</v>
      </c>
      <c r="C11" s="37">
        <v>3186</v>
      </c>
      <c r="D11" s="37">
        <v>3014</v>
      </c>
      <c r="E11" s="37">
        <v>1000</v>
      </c>
      <c r="F11" s="37">
        <v>1585</v>
      </c>
      <c r="G11" s="37">
        <v>2313</v>
      </c>
      <c r="H11" s="37">
        <v>793</v>
      </c>
      <c r="I11" s="37">
        <v>68554</v>
      </c>
      <c r="J11" s="37">
        <v>670</v>
      </c>
    </row>
    <row r="12" spans="2:10" x14ac:dyDescent="0.35">
      <c r="B12" s="37" t="s">
        <v>180</v>
      </c>
      <c r="C12" s="37">
        <v>14775</v>
      </c>
      <c r="D12" s="37">
        <v>11738</v>
      </c>
      <c r="E12" s="37">
        <v>5933</v>
      </c>
      <c r="F12" s="37">
        <v>5735</v>
      </c>
      <c r="G12" s="37">
        <v>9839</v>
      </c>
      <c r="H12" s="37">
        <v>4791</v>
      </c>
      <c r="I12" s="37">
        <v>349827</v>
      </c>
      <c r="J12" s="37">
        <v>3136</v>
      </c>
    </row>
    <row r="13" spans="2:10" x14ac:dyDescent="0.35">
      <c r="B13" s="37" t="s">
        <v>183</v>
      </c>
      <c r="C13" s="37">
        <v>6953</v>
      </c>
      <c r="D13" s="37">
        <v>8541</v>
      </c>
      <c r="E13" s="37">
        <v>4078</v>
      </c>
      <c r="F13" s="37">
        <v>3455</v>
      </c>
      <c r="G13" s="37">
        <v>3509</v>
      </c>
      <c r="H13" s="37">
        <v>1507</v>
      </c>
      <c r="I13" s="37">
        <v>92117</v>
      </c>
      <c r="J13" s="37">
        <v>1895</v>
      </c>
    </row>
    <row r="14" spans="2:10" x14ac:dyDescent="0.35">
      <c r="B14" s="37" t="s">
        <v>159</v>
      </c>
      <c r="C14" s="37">
        <v>3103</v>
      </c>
      <c r="D14" s="37">
        <v>3036</v>
      </c>
      <c r="E14" s="37">
        <v>1572</v>
      </c>
      <c r="F14" s="37">
        <v>1372</v>
      </c>
      <c r="G14" s="37">
        <v>1370</v>
      </c>
      <c r="H14" s="37">
        <v>1011</v>
      </c>
      <c r="I14" s="37">
        <v>43534</v>
      </c>
      <c r="J14" s="37">
        <v>999</v>
      </c>
    </row>
    <row r="15" spans="2:10" x14ac:dyDescent="0.35">
      <c r="B15" s="37" t="s">
        <v>133</v>
      </c>
      <c r="C15" s="37">
        <v>38842</v>
      </c>
      <c r="D15" s="37">
        <v>32550</v>
      </c>
      <c r="E15" s="37">
        <v>15754</v>
      </c>
      <c r="F15" s="37">
        <v>13941</v>
      </c>
      <c r="G15" s="37">
        <v>19385</v>
      </c>
      <c r="H15" s="37">
        <v>8780</v>
      </c>
      <c r="I15" s="37">
        <v>593758</v>
      </c>
      <c r="J15" s="37">
        <v>7460</v>
      </c>
    </row>
    <row r="16" spans="2:10" x14ac:dyDescent="0.35">
      <c r="B16" s="37" t="s">
        <v>201</v>
      </c>
      <c r="C16" s="37">
        <v>14777</v>
      </c>
      <c r="D16" s="37">
        <v>9015</v>
      </c>
      <c r="E16" s="37">
        <v>4616</v>
      </c>
      <c r="F16" s="37">
        <v>4002</v>
      </c>
      <c r="G16" s="37">
        <v>4435</v>
      </c>
      <c r="H16" s="37">
        <v>2010</v>
      </c>
      <c r="I16" s="37">
        <v>103135</v>
      </c>
      <c r="J16" s="37">
        <v>1740</v>
      </c>
    </row>
    <row r="17" spans="2:10" x14ac:dyDescent="0.35">
      <c r="B17" s="37" t="s">
        <v>299</v>
      </c>
      <c r="C17" s="37">
        <v>95820</v>
      </c>
      <c r="D17" s="37">
        <v>82160</v>
      </c>
      <c r="E17" s="37">
        <v>39068</v>
      </c>
      <c r="F17" s="37">
        <v>34619</v>
      </c>
      <c r="G17" s="37">
        <v>48125</v>
      </c>
      <c r="H17" s="37">
        <v>21396</v>
      </c>
      <c r="I17" s="37">
        <v>1436535</v>
      </c>
      <c r="J17" s="37">
        <v>19142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9B67-9F7E-4B84-98FB-A89F295814ED}">
  <dimension ref="F4:G22"/>
  <sheetViews>
    <sheetView topLeftCell="C1" workbookViewId="0">
      <selection activeCell="O32" sqref="O32"/>
    </sheetView>
  </sheetViews>
  <sheetFormatPr defaultRowHeight="14.5" x14ac:dyDescent="0.35"/>
  <cols>
    <col min="6" max="6" width="22.54296875" bestFit="1" customWidth="1"/>
    <col min="7" max="7" width="63.36328125" bestFit="1" customWidth="1"/>
  </cols>
  <sheetData>
    <row r="4" spans="6:7" x14ac:dyDescent="0.35">
      <c r="F4" t="s">
        <v>71</v>
      </c>
      <c r="G4" t="s">
        <v>304</v>
      </c>
    </row>
    <row r="5" spans="6:7" x14ac:dyDescent="0.35">
      <c r="F5" s="14" t="s">
        <v>116</v>
      </c>
      <c r="G5" s="22">
        <v>38400</v>
      </c>
    </row>
    <row r="6" spans="6:7" x14ac:dyDescent="0.35">
      <c r="F6" s="14" t="s">
        <v>192</v>
      </c>
      <c r="G6" s="22">
        <v>43637</v>
      </c>
    </row>
    <row r="7" spans="6:7" x14ac:dyDescent="0.35">
      <c r="F7" s="14" t="s">
        <v>168</v>
      </c>
      <c r="G7" s="22">
        <v>51046</v>
      </c>
    </row>
    <row r="8" spans="6:7" x14ac:dyDescent="0.35">
      <c r="F8" s="14" t="s">
        <v>124</v>
      </c>
      <c r="G8" s="22">
        <v>51639</v>
      </c>
    </row>
    <row r="9" spans="6:7" x14ac:dyDescent="0.35">
      <c r="F9" s="14" t="s">
        <v>120</v>
      </c>
      <c r="G9" s="22">
        <v>54630</v>
      </c>
    </row>
    <row r="10" spans="6:7" x14ac:dyDescent="0.35">
      <c r="F10" s="14" t="s">
        <v>174</v>
      </c>
      <c r="G10" s="22">
        <v>54807</v>
      </c>
    </row>
    <row r="11" spans="6:7" x14ac:dyDescent="0.35">
      <c r="F11" s="14" t="s">
        <v>110</v>
      </c>
      <c r="G11" s="22">
        <v>56156</v>
      </c>
    </row>
    <row r="12" spans="6:7" x14ac:dyDescent="0.35">
      <c r="F12" s="14" t="s">
        <v>183</v>
      </c>
      <c r="G12" s="22">
        <v>87931</v>
      </c>
    </row>
    <row r="13" spans="6:7" x14ac:dyDescent="0.35">
      <c r="F13" s="14" t="s">
        <v>201</v>
      </c>
      <c r="G13" s="22">
        <v>121696</v>
      </c>
    </row>
    <row r="14" spans="6:7" x14ac:dyDescent="0.35">
      <c r="F14" s="14" t="s">
        <v>180</v>
      </c>
      <c r="G14" s="22">
        <v>266199</v>
      </c>
    </row>
    <row r="15" spans="6:7" hidden="1" x14ac:dyDescent="0.35">
      <c r="F15" s="14" t="s">
        <v>141</v>
      </c>
      <c r="G15" s="22">
        <v>37589</v>
      </c>
    </row>
    <row r="16" spans="6:7" hidden="1" x14ac:dyDescent="0.35">
      <c r="F16" s="14" t="s">
        <v>159</v>
      </c>
      <c r="G16" s="22">
        <v>35446</v>
      </c>
    </row>
    <row r="17" spans="6:7" hidden="1" x14ac:dyDescent="0.35">
      <c r="F17" s="14" t="s">
        <v>106</v>
      </c>
      <c r="G17" s="22">
        <v>32428</v>
      </c>
    </row>
    <row r="18" spans="6:7" hidden="1" x14ac:dyDescent="0.35">
      <c r="F18" s="14" t="s">
        <v>152</v>
      </c>
      <c r="G18" s="22">
        <v>31789</v>
      </c>
    </row>
    <row r="19" spans="6:7" hidden="1" x14ac:dyDescent="0.35">
      <c r="F19" s="14" t="s">
        <v>146</v>
      </c>
      <c r="G19" s="22">
        <v>29003</v>
      </c>
    </row>
    <row r="20" spans="6:7" hidden="1" x14ac:dyDescent="0.35">
      <c r="F20" s="14" t="s">
        <v>164</v>
      </c>
      <c r="G20" s="22">
        <v>27368</v>
      </c>
    </row>
    <row r="21" spans="6:7" hidden="1" x14ac:dyDescent="0.35">
      <c r="F21" s="14" t="s">
        <v>128</v>
      </c>
      <c r="G21" s="22">
        <v>19551</v>
      </c>
    </row>
    <row r="22" spans="6:7" hidden="1" x14ac:dyDescent="0.35">
      <c r="F22" s="14" t="s">
        <v>206</v>
      </c>
      <c r="G22" s="22">
        <v>389</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FDAD-88CF-49D6-8357-24162F3DF277}">
  <dimension ref="C3:D21"/>
  <sheetViews>
    <sheetView workbookViewId="0">
      <selection activeCell="F25" sqref="F25"/>
    </sheetView>
  </sheetViews>
  <sheetFormatPr defaultRowHeight="14.5" x14ac:dyDescent="0.35"/>
  <cols>
    <col min="1" max="1" width="10.81640625" bestFit="1" customWidth="1"/>
    <col min="3" max="3" width="22.54296875" customWidth="1"/>
    <col min="4" max="4" width="42.1796875" bestFit="1" customWidth="1"/>
    <col min="5" max="5" width="45.08984375" bestFit="1" customWidth="1"/>
    <col min="6" max="6" width="47.54296875" bestFit="1" customWidth="1"/>
    <col min="7" max="9" width="47.453125" bestFit="1" customWidth="1"/>
    <col min="10" max="10" width="49.36328125" bestFit="1" customWidth="1"/>
  </cols>
  <sheetData>
    <row r="3" spans="3:4" x14ac:dyDescent="0.35">
      <c r="C3" t="s">
        <v>71</v>
      </c>
      <c r="D3" t="s">
        <v>303</v>
      </c>
    </row>
    <row r="4" spans="3:4" hidden="1" x14ac:dyDescent="0.35">
      <c r="C4" t="s">
        <v>116</v>
      </c>
      <c r="D4" s="22">
        <v>2414</v>
      </c>
    </row>
    <row r="5" spans="3:4" hidden="1" x14ac:dyDescent="0.35">
      <c r="C5" t="s">
        <v>164</v>
      </c>
      <c r="D5" s="22">
        <v>2569</v>
      </c>
    </row>
    <row r="6" spans="3:4" hidden="1" x14ac:dyDescent="0.35">
      <c r="C6" t="s">
        <v>146</v>
      </c>
      <c r="D6" s="22">
        <v>2512</v>
      </c>
    </row>
    <row r="7" spans="3:4" hidden="1" x14ac:dyDescent="0.35">
      <c r="C7" t="s">
        <v>128</v>
      </c>
      <c r="D7" s="22">
        <v>2938</v>
      </c>
    </row>
    <row r="8" spans="3:4" x14ac:dyDescent="0.35">
      <c r="C8" t="s">
        <v>168</v>
      </c>
      <c r="D8" s="22">
        <v>4992</v>
      </c>
    </row>
    <row r="9" spans="3:4" x14ac:dyDescent="0.35">
      <c r="C9" t="s">
        <v>152</v>
      </c>
      <c r="D9" s="22">
        <v>3863</v>
      </c>
    </row>
    <row r="10" spans="3:4" x14ac:dyDescent="0.35">
      <c r="C10" t="s">
        <v>192</v>
      </c>
      <c r="D10" s="22">
        <v>3614</v>
      </c>
    </row>
    <row r="11" spans="3:4" x14ac:dyDescent="0.35">
      <c r="C11" t="s">
        <v>120</v>
      </c>
      <c r="D11" s="22">
        <v>5070</v>
      </c>
    </row>
    <row r="12" spans="3:4" x14ac:dyDescent="0.35">
      <c r="C12" t="s">
        <v>124</v>
      </c>
      <c r="D12" s="22">
        <v>3565</v>
      </c>
    </row>
    <row r="13" spans="3:4" hidden="1" x14ac:dyDescent="0.35">
      <c r="C13" t="s">
        <v>206</v>
      </c>
      <c r="D13" s="22">
        <v>13</v>
      </c>
    </row>
    <row r="14" spans="3:4" hidden="1" x14ac:dyDescent="0.35">
      <c r="C14" t="s">
        <v>106</v>
      </c>
      <c r="D14" s="22">
        <v>3420</v>
      </c>
    </row>
    <row r="15" spans="3:4" x14ac:dyDescent="0.35">
      <c r="C15" t="s">
        <v>174</v>
      </c>
      <c r="D15" s="22">
        <v>8723</v>
      </c>
    </row>
    <row r="16" spans="3:4" x14ac:dyDescent="0.35">
      <c r="C16" t="s">
        <v>110</v>
      </c>
      <c r="D16" s="22">
        <v>3858</v>
      </c>
    </row>
    <row r="17" spans="3:4" x14ac:dyDescent="0.35">
      <c r="C17" t="s">
        <v>180</v>
      </c>
      <c r="D17" s="22">
        <v>17835</v>
      </c>
    </row>
    <row r="18" spans="3:4" x14ac:dyDescent="0.35">
      <c r="C18" t="s">
        <v>183</v>
      </c>
      <c r="D18" s="22">
        <v>9231</v>
      </c>
    </row>
    <row r="19" spans="3:4" hidden="1" x14ac:dyDescent="0.35">
      <c r="C19" t="s">
        <v>159</v>
      </c>
      <c r="D19" s="22">
        <v>3101</v>
      </c>
    </row>
    <row r="20" spans="3:4" hidden="1" x14ac:dyDescent="0.35">
      <c r="C20" t="s">
        <v>141</v>
      </c>
      <c r="D20" s="22">
        <v>2186</v>
      </c>
    </row>
    <row r="21" spans="3:4" x14ac:dyDescent="0.35">
      <c r="C21" t="s">
        <v>201</v>
      </c>
      <c r="D21" s="22">
        <v>18518</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63B7-9F50-4245-83BC-37DE6BC73761}">
  <dimension ref="B2:D47"/>
  <sheetViews>
    <sheetView topLeftCell="C22" zoomScale="97" workbookViewId="0">
      <selection activeCell="X34" sqref="X34"/>
    </sheetView>
  </sheetViews>
  <sheetFormatPr defaultRowHeight="14.5" x14ac:dyDescent="0.35"/>
  <cols>
    <col min="2" max="2" width="21.7265625" bestFit="1" customWidth="1"/>
    <col min="3" max="3" width="37.7265625" bestFit="1" customWidth="1"/>
    <col min="4" max="4" width="39.90625" bestFit="1" customWidth="1"/>
  </cols>
  <sheetData>
    <row r="2" spans="2:4" x14ac:dyDescent="0.35">
      <c r="B2" s="11" t="s">
        <v>300</v>
      </c>
      <c r="C2" t="s">
        <v>302</v>
      </c>
      <c r="D2" t="s">
        <v>305</v>
      </c>
    </row>
    <row r="3" spans="2:4" x14ac:dyDescent="0.35">
      <c r="B3" s="14" t="s">
        <v>116</v>
      </c>
      <c r="C3" s="23">
        <v>32771</v>
      </c>
      <c r="D3" s="23">
        <v>1312</v>
      </c>
    </row>
    <row r="4" spans="2:4" x14ac:dyDescent="0.35">
      <c r="B4" s="14" t="s">
        <v>164</v>
      </c>
      <c r="C4" s="23">
        <v>22026</v>
      </c>
      <c r="D4" s="23">
        <v>984</v>
      </c>
    </row>
    <row r="5" spans="2:4" x14ac:dyDescent="0.35">
      <c r="B5" s="14" t="s">
        <v>146</v>
      </c>
      <c r="C5" s="23">
        <v>23262</v>
      </c>
      <c r="D5" s="23">
        <v>1058</v>
      </c>
    </row>
    <row r="6" spans="2:4" x14ac:dyDescent="0.35">
      <c r="B6" s="14" t="s">
        <v>128</v>
      </c>
      <c r="C6" s="23">
        <v>15304</v>
      </c>
      <c r="D6" s="23">
        <v>609</v>
      </c>
    </row>
    <row r="7" spans="2:4" x14ac:dyDescent="0.35">
      <c r="B7" s="14" t="s">
        <v>168</v>
      </c>
      <c r="C7" s="23">
        <v>42501</v>
      </c>
      <c r="D7" s="23">
        <v>2622</v>
      </c>
    </row>
    <row r="8" spans="2:4" x14ac:dyDescent="0.35">
      <c r="B8" s="14" t="s">
        <v>152</v>
      </c>
      <c r="C8" s="23">
        <v>25428</v>
      </c>
      <c r="D8" s="23">
        <v>914</v>
      </c>
    </row>
    <row r="9" spans="2:4" x14ac:dyDescent="0.35">
      <c r="B9" s="14" t="s">
        <v>192</v>
      </c>
      <c r="C9" s="23">
        <v>37810</v>
      </c>
      <c r="D9" s="23">
        <v>1605</v>
      </c>
    </row>
    <row r="10" spans="2:4" x14ac:dyDescent="0.35">
      <c r="B10" s="14" t="s">
        <v>120</v>
      </c>
      <c r="C10" s="23">
        <v>47022</v>
      </c>
      <c r="D10" s="23">
        <v>1907</v>
      </c>
    </row>
    <row r="11" spans="2:4" x14ac:dyDescent="0.35">
      <c r="B11" s="14" t="s">
        <v>124</v>
      </c>
      <c r="C11" s="23">
        <v>44436</v>
      </c>
      <c r="D11" s="23">
        <v>1468</v>
      </c>
    </row>
    <row r="12" spans="2:4" x14ac:dyDescent="0.35">
      <c r="B12" s="14" t="s">
        <v>206</v>
      </c>
      <c r="C12" s="23">
        <v>361</v>
      </c>
      <c r="D12" s="23">
        <v>0</v>
      </c>
    </row>
    <row r="13" spans="2:4" x14ac:dyDescent="0.35">
      <c r="B13" s="14" t="s">
        <v>106</v>
      </c>
      <c r="C13" s="23">
        <v>26276</v>
      </c>
      <c r="D13" s="23">
        <v>1197</v>
      </c>
    </row>
    <row r="14" spans="2:4" x14ac:dyDescent="0.35">
      <c r="B14" s="14" t="s">
        <v>174</v>
      </c>
      <c r="C14" s="23">
        <v>42820</v>
      </c>
      <c r="D14" s="23">
        <v>1678</v>
      </c>
    </row>
    <row r="15" spans="2:4" x14ac:dyDescent="0.35">
      <c r="B15" s="14" t="s">
        <v>110</v>
      </c>
      <c r="C15" s="23">
        <v>47204</v>
      </c>
      <c r="D15" s="23">
        <v>1842</v>
      </c>
    </row>
    <row r="16" spans="2:4" x14ac:dyDescent="0.35">
      <c r="B16" s="14" t="s">
        <v>180</v>
      </c>
      <c r="C16" s="23">
        <v>220723</v>
      </c>
      <c r="D16" s="23">
        <v>8043</v>
      </c>
    </row>
    <row r="17" spans="2:4" x14ac:dyDescent="0.35">
      <c r="B17" s="14" t="s">
        <v>183</v>
      </c>
      <c r="C17" s="23">
        <v>72506</v>
      </c>
      <c r="D17" s="23">
        <v>3056</v>
      </c>
    </row>
    <row r="18" spans="2:4" x14ac:dyDescent="0.35">
      <c r="B18" s="14" t="s">
        <v>159</v>
      </c>
      <c r="C18" s="23">
        <v>29006</v>
      </c>
      <c r="D18" s="23">
        <v>872</v>
      </c>
    </row>
    <row r="19" spans="2:4" x14ac:dyDescent="0.35">
      <c r="B19" s="14" t="s">
        <v>141</v>
      </c>
      <c r="C19" s="23">
        <v>31763</v>
      </c>
      <c r="D19" s="23">
        <v>1139</v>
      </c>
    </row>
    <row r="20" spans="2:4" x14ac:dyDescent="0.35">
      <c r="B20" s="14" t="s">
        <v>133</v>
      </c>
      <c r="C20" s="23">
        <v>429819</v>
      </c>
      <c r="D20" s="23">
        <v>17602</v>
      </c>
    </row>
    <row r="21" spans="2:4" x14ac:dyDescent="0.35">
      <c r="B21" s="14" t="s">
        <v>201</v>
      </c>
      <c r="C21" s="23">
        <v>98419</v>
      </c>
      <c r="D21" s="23">
        <v>4898</v>
      </c>
    </row>
    <row r="22" spans="2:4" x14ac:dyDescent="0.35">
      <c r="B22" s="14" t="s">
        <v>299</v>
      </c>
      <c r="C22" s="23">
        <v>1289457</v>
      </c>
      <c r="D22" s="23">
        <v>52806</v>
      </c>
    </row>
    <row r="28" spans="2:4" x14ac:dyDescent="0.35">
      <c r="B28" t="s">
        <v>300</v>
      </c>
      <c r="C28" t="s">
        <v>80</v>
      </c>
      <c r="D28" t="s">
        <v>87</v>
      </c>
    </row>
    <row r="29" spans="2:4" x14ac:dyDescent="0.35">
      <c r="B29" t="s">
        <v>206</v>
      </c>
      <c r="C29">
        <v>361</v>
      </c>
      <c r="D29">
        <v>0</v>
      </c>
    </row>
    <row r="30" spans="2:4" x14ac:dyDescent="0.35">
      <c r="B30" t="s">
        <v>128</v>
      </c>
      <c r="C30">
        <v>15304</v>
      </c>
      <c r="D30">
        <v>609</v>
      </c>
    </row>
    <row r="31" spans="2:4" x14ac:dyDescent="0.35">
      <c r="B31" t="s">
        <v>164</v>
      </c>
      <c r="C31">
        <v>22026</v>
      </c>
      <c r="D31">
        <v>984</v>
      </c>
    </row>
    <row r="32" spans="2:4" x14ac:dyDescent="0.35">
      <c r="B32" t="s">
        <v>146</v>
      </c>
      <c r="C32">
        <v>23262</v>
      </c>
      <c r="D32">
        <v>1058</v>
      </c>
    </row>
    <row r="33" spans="2:4" x14ac:dyDescent="0.35">
      <c r="B33" t="s">
        <v>152</v>
      </c>
      <c r="C33">
        <v>25428</v>
      </c>
      <c r="D33">
        <v>914</v>
      </c>
    </row>
    <row r="34" spans="2:4" x14ac:dyDescent="0.35">
      <c r="B34" t="s">
        <v>116</v>
      </c>
      <c r="C34">
        <v>32771</v>
      </c>
      <c r="D34">
        <v>1312</v>
      </c>
    </row>
    <row r="35" spans="2:4" x14ac:dyDescent="0.35">
      <c r="B35" t="s">
        <v>192</v>
      </c>
      <c r="C35">
        <v>37810</v>
      </c>
      <c r="D35">
        <v>1605</v>
      </c>
    </row>
    <row r="36" spans="2:4" x14ac:dyDescent="0.35">
      <c r="B36" t="s">
        <v>168</v>
      </c>
      <c r="C36">
        <v>42501</v>
      </c>
      <c r="D36">
        <v>2622</v>
      </c>
    </row>
    <row r="37" spans="2:4" x14ac:dyDescent="0.35">
      <c r="B37" t="s">
        <v>124</v>
      </c>
      <c r="C37">
        <v>44436</v>
      </c>
      <c r="D37">
        <v>1468</v>
      </c>
    </row>
    <row r="38" spans="2:4" x14ac:dyDescent="0.35">
      <c r="B38" t="s">
        <v>120</v>
      </c>
      <c r="C38">
        <v>47022</v>
      </c>
      <c r="D38">
        <v>1907</v>
      </c>
    </row>
    <row r="39" spans="2:4" hidden="1" x14ac:dyDescent="0.35">
      <c r="B39" t="s">
        <v>106</v>
      </c>
      <c r="C39">
        <v>26276</v>
      </c>
      <c r="D39">
        <v>1197</v>
      </c>
    </row>
    <row r="40" spans="2:4" hidden="1" x14ac:dyDescent="0.35">
      <c r="B40" t="s">
        <v>174</v>
      </c>
      <c r="C40">
        <v>42820</v>
      </c>
      <c r="D40">
        <v>1678</v>
      </c>
    </row>
    <row r="41" spans="2:4" hidden="1" x14ac:dyDescent="0.35">
      <c r="B41" t="s">
        <v>110</v>
      </c>
      <c r="C41">
        <v>47204</v>
      </c>
      <c r="D41">
        <v>1842</v>
      </c>
    </row>
    <row r="42" spans="2:4" hidden="1" x14ac:dyDescent="0.35">
      <c r="B42" t="s">
        <v>180</v>
      </c>
      <c r="C42">
        <v>220723</v>
      </c>
      <c r="D42">
        <v>8043</v>
      </c>
    </row>
    <row r="43" spans="2:4" hidden="1" x14ac:dyDescent="0.35">
      <c r="B43" t="s">
        <v>183</v>
      </c>
      <c r="C43">
        <v>72506</v>
      </c>
      <c r="D43">
        <v>3056</v>
      </c>
    </row>
    <row r="44" spans="2:4" hidden="1" x14ac:dyDescent="0.35">
      <c r="B44" t="s">
        <v>159</v>
      </c>
      <c r="C44">
        <v>29006</v>
      </c>
      <c r="D44">
        <v>872</v>
      </c>
    </row>
    <row r="45" spans="2:4" hidden="1" x14ac:dyDescent="0.35">
      <c r="B45" t="s">
        <v>141</v>
      </c>
      <c r="C45">
        <v>31763</v>
      </c>
      <c r="D45">
        <v>1139</v>
      </c>
    </row>
    <row r="46" spans="2:4" hidden="1" x14ac:dyDescent="0.35">
      <c r="B46" t="s">
        <v>133</v>
      </c>
      <c r="C46">
        <v>429819</v>
      </c>
      <c r="D46">
        <v>17602</v>
      </c>
    </row>
    <row r="47" spans="2:4" hidden="1" x14ac:dyDescent="0.35">
      <c r="B47" t="s">
        <v>201</v>
      </c>
      <c r="C47">
        <v>98419</v>
      </c>
      <c r="D47">
        <v>4898</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97D6-37DB-4718-A988-F6AE5CBAF021}">
  <sheetPr filterMode="1"/>
  <dimension ref="B1:C93"/>
  <sheetViews>
    <sheetView topLeftCell="B1" workbookViewId="0">
      <selection activeCell="H72" sqref="H72"/>
    </sheetView>
  </sheetViews>
  <sheetFormatPr defaultRowHeight="14.5" x14ac:dyDescent="0.35"/>
  <cols>
    <col min="2" max="2" width="22.453125" bestFit="1" customWidth="1"/>
    <col min="3" max="3" width="46.6328125" style="7" customWidth="1"/>
  </cols>
  <sheetData>
    <row r="1" spans="2:3" x14ac:dyDescent="0.35">
      <c r="B1" s="24" t="s">
        <v>71</v>
      </c>
      <c r="C1" s="25" t="s">
        <v>89</v>
      </c>
    </row>
    <row r="2" spans="2:3" hidden="1" x14ac:dyDescent="0.35">
      <c r="B2" s="24" t="s">
        <v>106</v>
      </c>
      <c r="C2" s="26">
        <v>7.624860311183701E-2</v>
      </c>
    </row>
    <row r="3" spans="2:3" hidden="1" x14ac:dyDescent="0.35">
      <c r="B3" s="24" t="s">
        <v>106</v>
      </c>
      <c r="C3" s="26">
        <v>8.9785919693258068E-2</v>
      </c>
    </row>
    <row r="4" spans="2:3" hidden="1" x14ac:dyDescent="0.35">
      <c r="B4" s="24" t="s">
        <v>110</v>
      </c>
      <c r="C4" s="26">
        <v>9.263044647660032E-2</v>
      </c>
    </row>
    <row r="5" spans="2:3" hidden="1" x14ac:dyDescent="0.35">
      <c r="B5" s="24" t="s">
        <v>110</v>
      </c>
      <c r="C5" s="26">
        <v>9.3573399921146008E-2</v>
      </c>
    </row>
    <row r="6" spans="2:3" hidden="1" x14ac:dyDescent="0.35">
      <c r="B6" s="24" t="s">
        <v>110</v>
      </c>
      <c r="C6" s="26">
        <v>4.5852093360244268E-2</v>
      </c>
    </row>
    <row r="7" spans="2:3" hidden="1" x14ac:dyDescent="0.35">
      <c r="B7" s="24" t="s">
        <v>110</v>
      </c>
      <c r="C7" s="26">
        <v>7.7224398433128144E-2</v>
      </c>
    </row>
    <row r="8" spans="2:3" hidden="1" x14ac:dyDescent="0.35">
      <c r="B8" s="24" t="s">
        <v>110</v>
      </c>
      <c r="C8" s="26">
        <v>5.8355795148247978E-2</v>
      </c>
    </row>
    <row r="9" spans="2:3" x14ac:dyDescent="0.35">
      <c r="B9" s="24" t="s">
        <v>116</v>
      </c>
      <c r="C9" s="26">
        <v>8.5017249876786591E-2</v>
      </c>
    </row>
    <row r="10" spans="2:3" x14ac:dyDescent="0.35">
      <c r="B10" s="24" t="s">
        <v>116</v>
      </c>
      <c r="C10" s="26">
        <v>6.8518180157135025E-2</v>
      </c>
    </row>
    <row r="11" spans="2:3" x14ac:dyDescent="0.35">
      <c r="B11" s="24" t="s">
        <v>116</v>
      </c>
      <c r="C11" s="26">
        <v>3.1583064437273885E-2</v>
      </c>
    </row>
    <row r="12" spans="2:3" x14ac:dyDescent="0.35">
      <c r="B12" s="24" t="s">
        <v>116</v>
      </c>
      <c r="C12" s="26">
        <v>7.1452090879157062E-2</v>
      </c>
    </row>
    <row r="13" spans="2:3" x14ac:dyDescent="0.35">
      <c r="B13" s="24" t="s">
        <v>120</v>
      </c>
      <c r="C13" s="26">
        <v>5.0391644908616189E-2</v>
      </c>
    </row>
    <row r="14" spans="2:3" x14ac:dyDescent="0.35">
      <c r="B14" s="24" t="s">
        <v>120</v>
      </c>
      <c r="C14" s="26">
        <v>0.1435750680533259</v>
      </c>
    </row>
    <row r="15" spans="2:3" x14ac:dyDescent="0.35">
      <c r="B15" s="24" t="s">
        <v>120</v>
      </c>
      <c r="C15" s="26">
        <v>8.9700996677740868E-2</v>
      </c>
    </row>
    <row r="16" spans="2:3" x14ac:dyDescent="0.35">
      <c r="B16" s="24" t="s">
        <v>124</v>
      </c>
      <c r="C16" s="26">
        <v>2.9445506692160613E-2</v>
      </c>
    </row>
    <row r="17" spans="2:3" x14ac:dyDescent="0.35">
      <c r="B17" s="24" t="s">
        <v>124</v>
      </c>
      <c r="C17" s="26">
        <v>8.7081339712918662E-2</v>
      </c>
    </row>
    <row r="18" spans="2:3" x14ac:dyDescent="0.35">
      <c r="B18" s="24" t="s">
        <v>124</v>
      </c>
      <c r="C18" s="26">
        <v>7.313385094070779E-2</v>
      </c>
    </row>
    <row r="19" spans="2:3" x14ac:dyDescent="0.35">
      <c r="B19" s="24" t="s">
        <v>128</v>
      </c>
      <c r="C19" s="26">
        <v>0.10694972962147006</v>
      </c>
    </row>
    <row r="20" spans="2:3" x14ac:dyDescent="0.35">
      <c r="B20" s="24" t="s">
        <v>128</v>
      </c>
      <c r="C20" s="26">
        <v>0.1472233320015981</v>
      </c>
    </row>
    <row r="21" spans="2:3" x14ac:dyDescent="0.35">
      <c r="B21" s="24" t="s">
        <v>128</v>
      </c>
      <c r="C21" s="26">
        <v>0.24851941215178766</v>
      </c>
    </row>
    <row r="22" spans="2:3" hidden="1" x14ac:dyDescent="0.35">
      <c r="B22" s="24" t="s">
        <v>133</v>
      </c>
      <c r="C22" s="26">
        <v>8.4635647699510014E-2</v>
      </c>
    </row>
    <row r="23" spans="2:3" hidden="1" x14ac:dyDescent="0.35">
      <c r="B23" s="24" t="s">
        <v>133</v>
      </c>
      <c r="C23" s="26">
        <v>0.11115732109565467</v>
      </c>
    </row>
    <row r="24" spans="2:3" hidden="1" x14ac:dyDescent="0.35">
      <c r="B24" s="24" t="s">
        <v>133</v>
      </c>
      <c r="C24" s="26">
        <v>9.0950700408320581E-2</v>
      </c>
    </row>
    <row r="25" spans="2:3" hidden="1" x14ac:dyDescent="0.35">
      <c r="B25" s="24" t="s">
        <v>133</v>
      </c>
      <c r="C25" s="26">
        <v>0.15534439699123676</v>
      </c>
    </row>
    <row r="26" spans="2:3" hidden="1" x14ac:dyDescent="0.35">
      <c r="B26" s="24" t="s">
        <v>133</v>
      </c>
      <c r="C26" s="26">
        <v>9.0924416971059283E-2</v>
      </c>
    </row>
    <row r="27" spans="2:3" hidden="1" x14ac:dyDescent="0.35">
      <c r="B27" s="24" t="s">
        <v>133</v>
      </c>
      <c r="C27" s="26">
        <v>5.2537808725927539E-2</v>
      </c>
    </row>
    <row r="28" spans="2:3" hidden="1" x14ac:dyDescent="0.35">
      <c r="B28" s="24" t="s">
        <v>133</v>
      </c>
      <c r="C28" s="26">
        <v>8.4230556749125288E-2</v>
      </c>
    </row>
    <row r="29" spans="2:3" hidden="1" x14ac:dyDescent="0.35">
      <c r="B29" s="24" t="s">
        <v>141</v>
      </c>
      <c r="C29" s="26">
        <v>4.7806524184476944E-2</v>
      </c>
    </row>
    <row r="30" spans="2:3" hidden="1" x14ac:dyDescent="0.35">
      <c r="B30" s="24" t="s">
        <v>141</v>
      </c>
      <c r="C30" s="26">
        <v>6.1255899856351326E-2</v>
      </c>
    </row>
    <row r="31" spans="2:3" hidden="1" x14ac:dyDescent="0.35">
      <c r="B31" s="24" t="s">
        <v>141</v>
      </c>
      <c r="C31" s="26">
        <v>6.0137144244189575E-2</v>
      </c>
    </row>
    <row r="32" spans="2:3" hidden="1" x14ac:dyDescent="0.35">
      <c r="B32" s="24" t="s">
        <v>141</v>
      </c>
      <c r="C32" s="26">
        <v>5.4815573770491802E-2</v>
      </c>
    </row>
    <row r="33" spans="2:3" x14ac:dyDescent="0.35">
      <c r="B33" s="24" t="s">
        <v>146</v>
      </c>
      <c r="C33" s="26">
        <v>9.3904802929140635E-2</v>
      </c>
    </row>
    <row r="34" spans="2:3" x14ac:dyDescent="0.35">
      <c r="B34" s="24" t="s">
        <v>146</v>
      </c>
      <c r="C34" s="26">
        <v>0.11435278336686787</v>
      </c>
    </row>
    <row r="35" spans="2:3" x14ac:dyDescent="0.35">
      <c r="B35" s="24" t="s">
        <v>146</v>
      </c>
      <c r="C35" s="26">
        <v>4.8171793383633199E-2</v>
      </c>
    </row>
    <row r="36" spans="2:3" x14ac:dyDescent="0.35">
      <c r="B36" s="24" t="s">
        <v>146</v>
      </c>
      <c r="C36" s="26">
        <v>8.5948717948717945E-2</v>
      </c>
    </row>
    <row r="37" spans="2:3" x14ac:dyDescent="0.35">
      <c r="B37" s="24" t="s">
        <v>146</v>
      </c>
      <c r="C37" s="26">
        <v>7.4999999999999997E-2</v>
      </c>
    </row>
    <row r="38" spans="2:3" x14ac:dyDescent="0.35">
      <c r="B38" s="24" t="s">
        <v>152</v>
      </c>
      <c r="C38" s="26">
        <v>0.17729158807996984</v>
      </c>
    </row>
    <row r="39" spans="2:3" x14ac:dyDescent="0.35">
      <c r="B39" s="24" t="s">
        <v>152</v>
      </c>
      <c r="C39" s="26">
        <v>0.11862527716186252</v>
      </c>
    </row>
    <row r="40" spans="2:3" x14ac:dyDescent="0.35">
      <c r="B40" s="24" t="s">
        <v>152</v>
      </c>
      <c r="C40" s="26">
        <v>0.12358609132802681</v>
      </c>
    </row>
    <row r="41" spans="2:3" x14ac:dyDescent="0.35">
      <c r="B41" s="24" t="s">
        <v>152</v>
      </c>
      <c r="C41" s="26">
        <v>0.15667618141452586</v>
      </c>
    </row>
    <row r="42" spans="2:3" x14ac:dyDescent="0.35">
      <c r="B42" s="24" t="s">
        <v>152</v>
      </c>
      <c r="C42" s="26">
        <v>8.189116859946477E-2</v>
      </c>
    </row>
    <row r="43" spans="2:3" x14ac:dyDescent="0.35">
      <c r="B43" s="24" t="s">
        <v>152</v>
      </c>
      <c r="C43" s="26">
        <v>9.7357440890125171E-2</v>
      </c>
    </row>
    <row r="44" spans="2:3" hidden="1" x14ac:dyDescent="0.35">
      <c r="B44" s="24" t="s">
        <v>159</v>
      </c>
      <c r="C44" s="26">
        <v>0.11932871499658504</v>
      </c>
    </row>
    <row r="45" spans="2:3" hidden="1" x14ac:dyDescent="0.35">
      <c r="B45" s="24" t="s">
        <v>159</v>
      </c>
      <c r="C45" s="26">
        <v>8.1606942889137737E-2</v>
      </c>
    </row>
    <row r="46" spans="2:3" hidden="1" x14ac:dyDescent="0.35">
      <c r="B46" s="24" t="s">
        <v>159</v>
      </c>
      <c r="C46" s="26">
        <v>3.9710053577056412E-2</v>
      </c>
    </row>
    <row r="47" spans="2:3" hidden="1" x14ac:dyDescent="0.35">
      <c r="B47" s="24" t="s">
        <v>159</v>
      </c>
      <c r="C47" s="26">
        <v>0.10081087004163927</v>
      </c>
    </row>
    <row r="48" spans="2:3" x14ac:dyDescent="0.35">
      <c r="B48" s="24" t="s">
        <v>164</v>
      </c>
      <c r="C48" s="26">
        <v>6.649853995221662E-2</v>
      </c>
    </row>
    <row r="49" spans="2:3" x14ac:dyDescent="0.35">
      <c r="B49" s="24" t="s">
        <v>164</v>
      </c>
      <c r="C49" s="26">
        <v>0.11278711004456633</v>
      </c>
    </row>
    <row r="50" spans="2:3" x14ac:dyDescent="0.35">
      <c r="B50" s="24" t="s">
        <v>164</v>
      </c>
      <c r="C50" s="26">
        <v>0.10279600401962523</v>
      </c>
    </row>
    <row r="51" spans="2:3" x14ac:dyDescent="0.35">
      <c r="B51" s="24" t="s">
        <v>168</v>
      </c>
      <c r="C51" s="26">
        <v>0.12802181603773585</v>
      </c>
    </row>
    <row r="52" spans="2:3" x14ac:dyDescent="0.35">
      <c r="B52" s="24" t="s">
        <v>168</v>
      </c>
      <c r="C52" s="26">
        <v>0.1041819815404721</v>
      </c>
    </row>
    <row r="53" spans="2:3" x14ac:dyDescent="0.35">
      <c r="B53" s="24" t="s">
        <v>168</v>
      </c>
      <c r="C53" s="26">
        <v>6.4834024896265566E-2</v>
      </c>
    </row>
    <row r="54" spans="2:3" x14ac:dyDescent="0.35">
      <c r="B54" s="24" t="s">
        <v>168</v>
      </c>
      <c r="C54" s="26">
        <v>6.54445776940209E-2</v>
      </c>
    </row>
    <row r="55" spans="2:3" x14ac:dyDescent="0.35">
      <c r="B55" s="24" t="s">
        <v>168</v>
      </c>
      <c r="C55" s="26">
        <v>2.1824795392543193E-2</v>
      </c>
    </row>
    <row r="56" spans="2:3" hidden="1" x14ac:dyDescent="0.35">
      <c r="B56" s="24" t="s">
        <v>174</v>
      </c>
      <c r="C56" s="26">
        <v>9.5001343724805162E-2</v>
      </c>
    </row>
    <row r="57" spans="2:3" hidden="1" x14ac:dyDescent="0.35">
      <c r="B57" s="24" t="s">
        <v>174</v>
      </c>
      <c r="C57" s="26">
        <v>0.387399577167019</v>
      </c>
    </row>
    <row r="58" spans="2:3" hidden="1" x14ac:dyDescent="0.35">
      <c r="B58" s="24" t="s">
        <v>174</v>
      </c>
      <c r="C58" s="26">
        <v>0.13001983807838721</v>
      </c>
    </row>
    <row r="59" spans="2:3" hidden="1" x14ac:dyDescent="0.35">
      <c r="B59" s="24" t="s">
        <v>174</v>
      </c>
      <c r="C59" s="26">
        <v>4.4763746891406463E-2</v>
      </c>
    </row>
    <row r="60" spans="2:3" hidden="1" x14ac:dyDescent="0.35">
      <c r="B60" s="24" t="s">
        <v>174</v>
      </c>
      <c r="C60" s="26">
        <v>8.6870026525198943E-2</v>
      </c>
    </row>
    <row r="61" spans="2:3" hidden="1" x14ac:dyDescent="0.35">
      <c r="B61" s="24" t="s">
        <v>106</v>
      </c>
      <c r="C61" s="26">
        <v>0.14816763107136594</v>
      </c>
    </row>
    <row r="62" spans="2:3" hidden="1" x14ac:dyDescent="0.35">
      <c r="B62" s="24" t="s">
        <v>180</v>
      </c>
      <c r="C62" s="26">
        <v>6.6998749056157242E-2</v>
      </c>
    </row>
    <row r="63" spans="2:3" hidden="1" x14ac:dyDescent="0.35">
      <c r="B63" s="24" t="s">
        <v>183</v>
      </c>
      <c r="C63" s="26">
        <v>9.7793228536880286E-2</v>
      </c>
    </row>
    <row r="64" spans="2:3" hidden="1" x14ac:dyDescent="0.35">
      <c r="B64" s="24" t="s">
        <v>183</v>
      </c>
      <c r="C64" s="26">
        <v>3.5641960307816932E-2</v>
      </c>
    </row>
    <row r="65" spans="2:3" hidden="1" x14ac:dyDescent="0.35">
      <c r="B65" s="24" t="s">
        <v>183</v>
      </c>
      <c r="C65" s="26">
        <v>4.3434680922151685E-2</v>
      </c>
    </row>
    <row r="66" spans="2:3" hidden="1" x14ac:dyDescent="0.35">
      <c r="B66" s="24" t="s">
        <v>183</v>
      </c>
      <c r="C66" s="26">
        <v>9.0932642487046633E-2</v>
      </c>
    </row>
    <row r="67" spans="2:3" hidden="1" x14ac:dyDescent="0.35">
      <c r="B67" s="24" t="s">
        <v>183</v>
      </c>
      <c r="C67" s="26">
        <v>0.11237945286360952</v>
      </c>
    </row>
    <row r="68" spans="2:3" hidden="1" x14ac:dyDescent="0.35">
      <c r="B68" s="24" t="s">
        <v>183</v>
      </c>
      <c r="C68" s="26">
        <v>0.12085606378514478</v>
      </c>
    </row>
    <row r="69" spans="2:3" hidden="1" x14ac:dyDescent="0.35">
      <c r="B69" s="24" t="s">
        <v>183</v>
      </c>
      <c r="C69" s="26">
        <v>7.8148710166919572E-2</v>
      </c>
    </row>
    <row r="70" spans="2:3" hidden="1" x14ac:dyDescent="0.35">
      <c r="B70" s="24" t="s">
        <v>183</v>
      </c>
      <c r="C70" s="26">
        <v>0.15360843483003089</v>
      </c>
    </row>
    <row r="71" spans="2:3" hidden="1" x14ac:dyDescent="0.35">
      <c r="B71" s="24" t="s">
        <v>183</v>
      </c>
      <c r="C71" s="26">
        <v>2.5078369905956112E-2</v>
      </c>
    </row>
    <row r="72" spans="2:3" x14ac:dyDescent="0.35">
      <c r="B72" s="24" t="s">
        <v>192</v>
      </c>
      <c r="C72" s="26">
        <v>0.11872146118721461</v>
      </c>
    </row>
    <row r="73" spans="2:3" hidden="1" x14ac:dyDescent="0.35">
      <c r="B73" s="24" t="s">
        <v>183</v>
      </c>
      <c r="C73" s="26">
        <v>0.14184782608695654</v>
      </c>
    </row>
    <row r="74" spans="2:3" hidden="1" x14ac:dyDescent="0.35">
      <c r="B74" s="24" t="s">
        <v>183</v>
      </c>
      <c r="C74" s="26">
        <v>3.5042333019755408E-2</v>
      </c>
    </row>
    <row r="75" spans="2:3" hidden="1" x14ac:dyDescent="0.35">
      <c r="B75" s="24" t="s">
        <v>183</v>
      </c>
      <c r="C75" s="26">
        <v>0.17729158807996984</v>
      </c>
    </row>
    <row r="76" spans="2:3" hidden="1" x14ac:dyDescent="0.35">
      <c r="B76" s="24" t="s">
        <v>183</v>
      </c>
      <c r="C76" s="26">
        <v>9.0934566344402404E-2</v>
      </c>
    </row>
    <row r="77" spans="2:3" x14ac:dyDescent="0.35">
      <c r="B77" s="24" t="s">
        <v>192</v>
      </c>
      <c r="C77" s="26">
        <v>0.12442891695780704</v>
      </c>
    </row>
    <row r="78" spans="2:3" hidden="1" x14ac:dyDescent="0.35">
      <c r="B78" s="24" t="s">
        <v>183</v>
      </c>
      <c r="C78" s="26">
        <v>9.720700985761227E-2</v>
      </c>
    </row>
    <row r="79" spans="2:3" hidden="1" x14ac:dyDescent="0.35">
      <c r="B79" s="24" t="s">
        <v>183</v>
      </c>
      <c r="C79" s="26">
        <v>8.1418491043965979E-2</v>
      </c>
    </row>
    <row r="80" spans="2:3" hidden="1" x14ac:dyDescent="0.35">
      <c r="B80" s="24" t="s">
        <v>183</v>
      </c>
      <c r="C80" s="26">
        <v>0.18221876620010369</v>
      </c>
    </row>
    <row r="81" spans="2:3" x14ac:dyDescent="0.35">
      <c r="B81" s="24" t="s">
        <v>192</v>
      </c>
      <c r="C81" s="26">
        <v>0.10199556541019955</v>
      </c>
    </row>
    <row r="82" spans="2:3" hidden="1" x14ac:dyDescent="0.35">
      <c r="B82" s="24" t="s">
        <v>183</v>
      </c>
      <c r="C82" s="26">
        <v>0.10529344073647871</v>
      </c>
    </row>
    <row r="83" spans="2:3" hidden="1" x14ac:dyDescent="0.35">
      <c r="B83" s="24" t="s">
        <v>183</v>
      </c>
      <c r="C83" s="26">
        <v>9.0403337969401948E-2</v>
      </c>
    </row>
    <row r="84" spans="2:3" hidden="1" x14ac:dyDescent="0.35">
      <c r="B84" s="24" t="s">
        <v>201</v>
      </c>
      <c r="C84" s="26">
        <v>0.16894428592881813</v>
      </c>
    </row>
    <row r="85" spans="2:3" x14ac:dyDescent="0.35">
      <c r="B85" s="24" t="s">
        <v>192</v>
      </c>
      <c r="C85" s="26">
        <v>5.6971986150456407E-2</v>
      </c>
    </row>
    <row r="86" spans="2:3" x14ac:dyDescent="0.35">
      <c r="B86" s="24" t="s">
        <v>192</v>
      </c>
      <c r="C86" s="26">
        <v>6.1308301554708122E-2</v>
      </c>
    </row>
    <row r="87" spans="2:3" x14ac:dyDescent="0.35">
      <c r="B87" s="24" t="s">
        <v>192</v>
      </c>
      <c r="C87" s="26">
        <v>9.9166836008941273E-2</v>
      </c>
    </row>
    <row r="88" spans="2:3" hidden="1" x14ac:dyDescent="0.35">
      <c r="B88" s="24" t="s">
        <v>201</v>
      </c>
      <c r="C88" s="26">
        <v>8.771929824561403E-2</v>
      </c>
    </row>
    <row r="89" spans="2:3" hidden="1" x14ac:dyDescent="0.35">
      <c r="B89" s="24" t="s">
        <v>201</v>
      </c>
      <c r="C89" s="26">
        <v>0.39478934397371201</v>
      </c>
    </row>
    <row r="90" spans="2:3" hidden="1" x14ac:dyDescent="0.35">
      <c r="B90" s="24" t="s">
        <v>201</v>
      </c>
      <c r="C90" s="26">
        <v>8.4653689452240832E-2</v>
      </c>
    </row>
    <row r="91" spans="2:3" hidden="1" x14ac:dyDescent="0.35">
      <c r="B91" s="24" t="s">
        <v>201</v>
      </c>
      <c r="C91" s="26">
        <v>0.12523020257826889</v>
      </c>
    </row>
    <row r="92" spans="2:3" hidden="1" x14ac:dyDescent="0.35">
      <c r="B92" s="24" t="s">
        <v>201</v>
      </c>
      <c r="C92" s="26">
        <v>0.10698616267296658</v>
      </c>
    </row>
    <row r="93" spans="2:3" x14ac:dyDescent="0.35">
      <c r="B93" s="24" t="s">
        <v>206</v>
      </c>
      <c r="C93" s="26">
        <v>3.3419023136246784E-2</v>
      </c>
    </row>
  </sheetData>
  <autoFilter ref="B1:C93" xr:uid="{5F4597D6-37DB-4718-A988-F6AE5CBAF021}">
    <filterColumn colId="0">
      <filters>
        <filter val="Ballard"/>
        <filter val="Central"/>
        <filter val="Delridge Neighborhoods"/>
        <filter val="Downtown"/>
        <filter val="East"/>
        <filter val="Greater Duwamish"/>
        <filter val="Hub Urban Village"/>
        <filter val="Lake Union"/>
        <filter val="Magnolia/Queen Anne"/>
        <filter val="Manufacturing Industrial"/>
      </filters>
    </filterColumn>
  </autoFilter>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1FE6-0C04-4C85-805B-1DFD76E78145}">
  <sheetPr filterMode="1"/>
  <dimension ref="B1:C93"/>
  <sheetViews>
    <sheetView topLeftCell="C1" workbookViewId="0">
      <selection activeCell="V39" sqref="V39"/>
    </sheetView>
  </sheetViews>
  <sheetFormatPr defaultRowHeight="14.5" x14ac:dyDescent="0.35"/>
  <cols>
    <col min="2" max="2" width="22.08984375" customWidth="1"/>
    <col min="3" max="3" width="28.453125" style="7" bestFit="1" customWidth="1"/>
  </cols>
  <sheetData>
    <row r="1" spans="2:3" x14ac:dyDescent="0.35">
      <c r="B1" s="24" t="s">
        <v>71</v>
      </c>
      <c r="C1" s="25" t="s">
        <v>90</v>
      </c>
    </row>
    <row r="2" spans="2:3" hidden="1" x14ac:dyDescent="0.35">
      <c r="B2" s="24" t="s">
        <v>106</v>
      </c>
      <c r="C2" s="26">
        <v>5.1942941465814067E-2</v>
      </c>
    </row>
    <row r="3" spans="2:3" hidden="1" x14ac:dyDescent="0.35">
      <c r="B3" s="24" t="s">
        <v>106</v>
      </c>
      <c r="C3" s="26">
        <v>2.6424546023794616E-2</v>
      </c>
    </row>
    <row r="4" spans="2:3" hidden="1" x14ac:dyDescent="0.35">
      <c r="B4" s="24" t="s">
        <v>110</v>
      </c>
      <c r="C4" s="26">
        <v>4.1409465020576131E-2</v>
      </c>
    </row>
    <row r="5" spans="2:3" hidden="1" x14ac:dyDescent="0.35">
      <c r="B5" s="24" t="s">
        <v>110</v>
      </c>
      <c r="C5" s="26">
        <v>3.9690955915770335E-2</v>
      </c>
    </row>
    <row r="6" spans="2:3" hidden="1" x14ac:dyDescent="0.35">
      <c r="B6" s="24" t="s">
        <v>110</v>
      </c>
      <c r="C6" s="26">
        <v>2.782812043262204E-2</v>
      </c>
    </row>
    <row r="7" spans="2:3" hidden="1" x14ac:dyDescent="0.35">
      <c r="B7" s="24" t="s">
        <v>110</v>
      </c>
      <c r="C7" s="26">
        <v>4.4464285714285713E-2</v>
      </c>
    </row>
    <row r="8" spans="2:3" hidden="1" x14ac:dyDescent="0.35">
      <c r="B8" s="24" t="s">
        <v>110</v>
      </c>
      <c r="C8" s="26">
        <v>4.4626021370207415E-2</v>
      </c>
    </row>
    <row r="9" spans="2:3" x14ac:dyDescent="0.35">
      <c r="B9" s="24" t="s">
        <v>116</v>
      </c>
      <c r="C9" s="26">
        <v>4.8180924287118974E-2</v>
      </c>
    </row>
    <row r="10" spans="2:3" x14ac:dyDescent="0.35">
      <c r="B10" s="24" t="s">
        <v>116</v>
      </c>
      <c r="C10" s="26">
        <v>1.7067332708918723E-2</v>
      </c>
    </row>
    <row r="11" spans="2:3" x14ac:dyDescent="0.35">
      <c r="B11" s="24" t="s">
        <v>116</v>
      </c>
      <c r="C11" s="26">
        <v>2.7918496003602387E-2</v>
      </c>
    </row>
    <row r="12" spans="2:3" x14ac:dyDescent="0.35">
      <c r="B12" s="24" t="s">
        <v>116</v>
      </c>
      <c r="C12" s="26">
        <v>6.5745986779981114E-2</v>
      </c>
    </row>
    <row r="13" spans="2:3" x14ac:dyDescent="0.35">
      <c r="B13" s="24" t="s">
        <v>120</v>
      </c>
      <c r="C13" s="26">
        <v>2.8626089421101113E-2</v>
      </c>
    </row>
    <row r="14" spans="2:3" x14ac:dyDescent="0.35">
      <c r="B14" s="24" t="s">
        <v>120</v>
      </c>
      <c r="C14" s="26">
        <v>3.5714285714285712E-2</v>
      </c>
    </row>
    <row r="15" spans="2:3" x14ac:dyDescent="0.35">
      <c r="B15" s="24" t="s">
        <v>120</v>
      </c>
      <c r="C15" s="26">
        <v>4.7296091379618065E-2</v>
      </c>
    </row>
    <row r="16" spans="2:3" x14ac:dyDescent="0.35">
      <c r="B16" s="24" t="s">
        <v>124</v>
      </c>
      <c r="C16" s="26">
        <v>2.1795065839261388E-2</v>
      </c>
    </row>
    <row r="17" spans="2:3" x14ac:dyDescent="0.35">
      <c r="B17" s="24" t="s">
        <v>124</v>
      </c>
      <c r="C17" s="26">
        <v>3.415893884258716E-2</v>
      </c>
    </row>
    <row r="18" spans="2:3" x14ac:dyDescent="0.35">
      <c r="B18" s="24" t="s">
        <v>124</v>
      </c>
      <c r="C18" s="26">
        <v>3.3562934563649359E-2</v>
      </c>
    </row>
    <row r="19" spans="2:3" x14ac:dyDescent="0.35">
      <c r="B19" s="24" t="s">
        <v>128</v>
      </c>
      <c r="C19" s="26">
        <v>2.851182197496523E-2</v>
      </c>
    </row>
    <row r="20" spans="2:3" x14ac:dyDescent="0.35">
      <c r="B20" s="24" t="s">
        <v>128</v>
      </c>
      <c r="C20" s="26">
        <v>3.4718569174118884E-2</v>
      </c>
    </row>
    <row r="21" spans="2:3" x14ac:dyDescent="0.35">
      <c r="B21" s="24" t="s">
        <v>128</v>
      </c>
      <c r="C21" s="26">
        <v>6.6322136089577946E-2</v>
      </c>
    </row>
    <row r="22" spans="2:3" hidden="1" x14ac:dyDescent="0.35">
      <c r="B22" s="24" t="s">
        <v>133</v>
      </c>
      <c r="C22" s="26">
        <v>4.2772861356932153E-2</v>
      </c>
    </row>
    <row r="23" spans="2:3" hidden="1" x14ac:dyDescent="0.35">
      <c r="B23" s="24" t="s">
        <v>133</v>
      </c>
      <c r="C23" s="26">
        <v>3.3754400496997308E-2</v>
      </c>
    </row>
    <row r="24" spans="2:3" hidden="1" x14ac:dyDescent="0.35">
      <c r="B24" s="24" t="s">
        <v>133</v>
      </c>
      <c r="C24" s="26">
        <v>5.0206431836069647E-2</v>
      </c>
    </row>
    <row r="25" spans="2:3" hidden="1" x14ac:dyDescent="0.35">
      <c r="B25" s="24" t="s">
        <v>133</v>
      </c>
      <c r="C25" s="26">
        <v>3.4365369454597575E-2</v>
      </c>
    </row>
    <row r="26" spans="2:3" hidden="1" x14ac:dyDescent="0.35">
      <c r="B26" s="24" t="s">
        <v>133</v>
      </c>
      <c r="C26" s="26">
        <v>4.2735745163464227E-2</v>
      </c>
    </row>
    <row r="27" spans="2:3" hidden="1" x14ac:dyDescent="0.35">
      <c r="B27" s="24" t="s">
        <v>133</v>
      </c>
      <c r="C27" s="26">
        <v>3.281897566869045E-2</v>
      </c>
    </row>
    <row r="28" spans="2:3" hidden="1" x14ac:dyDescent="0.35">
      <c r="B28" s="24" t="s">
        <v>133</v>
      </c>
      <c r="C28" s="26">
        <v>3.6868770306734952E-2</v>
      </c>
    </row>
    <row r="29" spans="2:3" hidden="1" x14ac:dyDescent="0.35">
      <c r="B29" s="24" t="s">
        <v>141</v>
      </c>
      <c r="C29" s="26">
        <v>2.8685790527018012E-2</v>
      </c>
    </row>
    <row r="30" spans="2:3" hidden="1" x14ac:dyDescent="0.35">
      <c r="B30" s="24" t="s">
        <v>141</v>
      </c>
      <c r="C30" s="26">
        <v>3.1158486587794305E-2</v>
      </c>
    </row>
    <row r="31" spans="2:3" hidden="1" x14ac:dyDescent="0.35">
      <c r="B31" s="24" t="s">
        <v>141</v>
      </c>
      <c r="C31" s="26">
        <v>4.2697089766361523E-2</v>
      </c>
    </row>
    <row r="32" spans="2:3" hidden="1" x14ac:dyDescent="0.35">
      <c r="B32" s="24" t="s">
        <v>141</v>
      </c>
      <c r="C32" s="26">
        <v>2.4074899687917966E-2</v>
      </c>
    </row>
    <row r="33" spans="2:3" x14ac:dyDescent="0.35">
      <c r="B33" s="24" t="s">
        <v>146</v>
      </c>
      <c r="C33" s="26">
        <v>7.5530263838592862E-2</v>
      </c>
    </row>
    <row r="34" spans="2:3" x14ac:dyDescent="0.35">
      <c r="B34" s="24" t="s">
        <v>146</v>
      </c>
      <c r="C34" s="26">
        <v>3.9723661485319514E-2</v>
      </c>
    </row>
    <row r="35" spans="2:3" x14ac:dyDescent="0.35">
      <c r="B35" s="24" t="s">
        <v>146</v>
      </c>
      <c r="C35" s="26">
        <v>2.420916720464816E-2</v>
      </c>
    </row>
    <row r="36" spans="2:3" x14ac:dyDescent="0.35">
      <c r="B36" s="24" t="s">
        <v>146</v>
      </c>
      <c r="C36" s="26">
        <v>4.0447604615922603E-2</v>
      </c>
    </row>
    <row r="37" spans="2:3" x14ac:dyDescent="0.35">
      <c r="B37" s="24" t="s">
        <v>146</v>
      </c>
      <c r="C37" s="26">
        <v>3.8600723763570564E-2</v>
      </c>
    </row>
    <row r="38" spans="2:3" x14ac:dyDescent="0.35">
      <c r="B38" s="24" t="s">
        <v>152</v>
      </c>
      <c r="C38" s="26">
        <v>7.2007200720072009E-2</v>
      </c>
    </row>
    <row r="39" spans="2:3" x14ac:dyDescent="0.35">
      <c r="B39" s="24" t="s">
        <v>152</v>
      </c>
      <c r="C39" s="26">
        <v>7.0257611241217799E-3</v>
      </c>
    </row>
    <row r="40" spans="2:3" x14ac:dyDescent="0.35">
      <c r="B40" s="24" t="s">
        <v>152</v>
      </c>
      <c r="C40" s="26">
        <v>6.1028351753964441E-2</v>
      </c>
    </row>
    <row r="41" spans="2:3" x14ac:dyDescent="0.35">
      <c r="B41" s="24" t="s">
        <v>152</v>
      </c>
      <c r="C41" s="26">
        <v>3.7441282122133185E-2</v>
      </c>
    </row>
    <row r="42" spans="2:3" x14ac:dyDescent="0.35">
      <c r="B42" s="24" t="s">
        <v>152</v>
      </c>
      <c r="C42" s="26">
        <v>1.7907227615965481E-2</v>
      </c>
    </row>
    <row r="43" spans="2:3" x14ac:dyDescent="0.35">
      <c r="B43" s="24" t="s">
        <v>152</v>
      </c>
      <c r="C43" s="26">
        <v>2.8672680412371133E-2</v>
      </c>
    </row>
    <row r="44" spans="2:3" hidden="1" x14ac:dyDescent="0.35">
      <c r="B44" s="24" t="s">
        <v>159</v>
      </c>
      <c r="C44" s="26">
        <v>4.6381304399666153E-2</v>
      </c>
    </row>
    <row r="45" spans="2:3" hidden="1" x14ac:dyDescent="0.35">
      <c r="B45" s="24" t="s">
        <v>159</v>
      </c>
      <c r="C45" s="26">
        <v>1.7399191885874497E-2</v>
      </c>
    </row>
    <row r="46" spans="2:3" hidden="1" x14ac:dyDescent="0.35">
      <c r="B46" s="24" t="s">
        <v>159</v>
      </c>
      <c r="C46" s="26">
        <v>2.6696329254727477E-2</v>
      </c>
    </row>
    <row r="47" spans="2:3" hidden="1" x14ac:dyDescent="0.35">
      <c r="B47" s="24" t="s">
        <v>159</v>
      </c>
      <c r="C47" s="26">
        <v>3.2241813602015112E-2</v>
      </c>
    </row>
    <row r="48" spans="2:3" x14ac:dyDescent="0.35">
      <c r="B48" s="24" t="s">
        <v>164</v>
      </c>
      <c r="C48" s="26">
        <v>3.3141697666553942E-2</v>
      </c>
    </row>
    <row r="49" spans="2:3" x14ac:dyDescent="0.35">
      <c r="B49" s="24" t="s">
        <v>164</v>
      </c>
      <c r="C49" s="26">
        <v>7.7414205905826011E-2</v>
      </c>
    </row>
    <row r="50" spans="2:3" x14ac:dyDescent="0.35">
      <c r="B50" s="24" t="s">
        <v>164</v>
      </c>
      <c r="C50" s="26">
        <v>4.0712816997943796E-2</v>
      </c>
    </row>
    <row r="51" spans="2:3" x14ac:dyDescent="0.35">
      <c r="B51" s="24" t="s">
        <v>168</v>
      </c>
      <c r="C51" s="26">
        <v>5.9830522982110758E-2</v>
      </c>
    </row>
    <row r="52" spans="2:3" x14ac:dyDescent="0.35">
      <c r="B52" s="24" t="s">
        <v>168</v>
      </c>
      <c r="C52" s="26">
        <v>5.3216661458100806E-2</v>
      </c>
    </row>
    <row r="53" spans="2:3" x14ac:dyDescent="0.35">
      <c r="B53" s="24" t="s">
        <v>168</v>
      </c>
      <c r="C53" s="26">
        <v>4.4270833333333336E-2</v>
      </c>
    </row>
    <row r="54" spans="2:3" x14ac:dyDescent="0.35">
      <c r="B54" s="24" t="s">
        <v>168</v>
      </c>
      <c r="C54" s="26">
        <v>2.9124149659863947E-2</v>
      </c>
    </row>
    <row r="55" spans="2:3" x14ac:dyDescent="0.35">
      <c r="B55" s="24" t="s">
        <v>168</v>
      </c>
      <c r="C55" s="26">
        <v>0.15307185005206525</v>
      </c>
    </row>
    <row r="56" spans="2:3" hidden="1" x14ac:dyDescent="0.35">
      <c r="B56" s="24" t="s">
        <v>174</v>
      </c>
      <c r="C56" s="26">
        <v>5.9895833333333336E-2</v>
      </c>
    </row>
    <row r="57" spans="2:3" hidden="1" x14ac:dyDescent="0.35">
      <c r="B57" s="24" t="s">
        <v>174</v>
      </c>
      <c r="C57" s="26">
        <v>4.4407105136821889E-2</v>
      </c>
    </row>
    <row r="58" spans="2:3" hidden="1" x14ac:dyDescent="0.35">
      <c r="B58" s="24" t="s">
        <v>174</v>
      </c>
      <c r="C58" s="26">
        <v>2.8750244474867983E-2</v>
      </c>
    </row>
    <row r="59" spans="2:3" hidden="1" x14ac:dyDescent="0.35">
      <c r="B59" s="24" t="s">
        <v>174</v>
      </c>
      <c r="C59" s="26">
        <v>2.9667302394575122E-2</v>
      </c>
    </row>
    <row r="60" spans="2:3" hidden="1" x14ac:dyDescent="0.35">
      <c r="B60" s="24" t="s">
        <v>174</v>
      </c>
      <c r="C60" s="26">
        <v>4.0320921621065625E-2</v>
      </c>
    </row>
    <row r="61" spans="2:3" hidden="1" x14ac:dyDescent="0.35">
      <c r="B61" s="24" t="s">
        <v>106</v>
      </c>
      <c r="C61" s="26">
        <v>4.9125817869784406E-2</v>
      </c>
    </row>
    <row r="62" spans="2:3" hidden="1" x14ac:dyDescent="0.35">
      <c r="B62" s="24" t="s">
        <v>180</v>
      </c>
      <c r="C62" s="26">
        <v>3.5158196585156884E-2</v>
      </c>
    </row>
    <row r="63" spans="2:3" hidden="1" x14ac:dyDescent="0.35">
      <c r="B63" s="24" t="s">
        <v>183</v>
      </c>
      <c r="C63" s="26">
        <v>4.2214047994394814E-2</v>
      </c>
    </row>
    <row r="64" spans="2:3" hidden="1" x14ac:dyDescent="0.35">
      <c r="B64" s="24" t="s">
        <v>183</v>
      </c>
      <c r="C64" s="26">
        <v>3.4403669724770644E-2</v>
      </c>
    </row>
    <row r="65" spans="2:3" hidden="1" x14ac:dyDescent="0.35">
      <c r="B65" s="24" t="s">
        <v>183</v>
      </c>
      <c r="C65" s="26">
        <v>1.6515926071569011E-2</v>
      </c>
    </row>
    <row r="66" spans="2:3" hidden="1" x14ac:dyDescent="0.35">
      <c r="B66" s="24" t="s">
        <v>183</v>
      </c>
      <c r="C66" s="26">
        <v>1.0995723885155772E-2</v>
      </c>
    </row>
    <row r="67" spans="2:3" hidden="1" x14ac:dyDescent="0.35">
      <c r="B67" s="24" t="s">
        <v>183</v>
      </c>
      <c r="C67" s="26">
        <v>6.0909288666521642E-2</v>
      </c>
    </row>
    <row r="68" spans="2:3" hidden="1" x14ac:dyDescent="0.35">
      <c r="B68" s="24" t="s">
        <v>183</v>
      </c>
      <c r="C68" s="26">
        <v>5.6588840522358526E-2</v>
      </c>
    </row>
    <row r="69" spans="2:3" hidden="1" x14ac:dyDescent="0.35">
      <c r="B69" s="24" t="s">
        <v>183</v>
      </c>
      <c r="C69" s="26">
        <v>2.4543874891398785E-2</v>
      </c>
    </row>
    <row r="70" spans="2:3" hidden="1" x14ac:dyDescent="0.35">
      <c r="B70" s="24" t="s">
        <v>183</v>
      </c>
      <c r="C70" s="26">
        <v>1.5549715286903198E-2</v>
      </c>
    </row>
    <row r="71" spans="2:3" hidden="1" x14ac:dyDescent="0.35">
      <c r="B71" s="24" t="s">
        <v>183</v>
      </c>
      <c r="C71" s="26">
        <v>0.1038961038961039</v>
      </c>
    </row>
    <row r="72" spans="2:3" x14ac:dyDescent="0.35">
      <c r="B72" s="24" t="s">
        <v>192</v>
      </c>
      <c r="C72" s="26">
        <v>7.2972972972972977E-2</v>
      </c>
    </row>
    <row r="73" spans="2:3" hidden="1" x14ac:dyDescent="0.35">
      <c r="B73" s="24" t="s">
        <v>183</v>
      </c>
      <c r="C73" s="26">
        <v>3.1379596350566766E-2</v>
      </c>
    </row>
    <row r="74" spans="2:3" hidden="1" x14ac:dyDescent="0.35">
      <c r="B74" s="24" t="s">
        <v>183</v>
      </c>
      <c r="C74" s="26">
        <v>2.4285352896534277E-2</v>
      </c>
    </row>
    <row r="75" spans="2:3" hidden="1" x14ac:dyDescent="0.35">
      <c r="B75" s="24" t="s">
        <v>183</v>
      </c>
      <c r="C75" s="26">
        <v>7.2007200720072009E-2</v>
      </c>
    </row>
    <row r="76" spans="2:3" hidden="1" x14ac:dyDescent="0.35">
      <c r="B76" s="24" t="s">
        <v>183</v>
      </c>
      <c r="C76" s="26">
        <v>4.1178333861260692E-2</v>
      </c>
    </row>
    <row r="77" spans="2:3" x14ac:dyDescent="0.35">
      <c r="B77" s="24" t="s">
        <v>192</v>
      </c>
      <c r="C77" s="26">
        <v>4.5829514207149404E-2</v>
      </c>
    </row>
    <row r="78" spans="2:3" hidden="1" x14ac:dyDescent="0.35">
      <c r="B78" s="24" t="s">
        <v>183</v>
      </c>
      <c r="C78" s="26">
        <v>2.5067144136078783E-2</v>
      </c>
    </row>
    <row r="79" spans="2:3" hidden="1" x14ac:dyDescent="0.35">
      <c r="B79" s="24" t="s">
        <v>183</v>
      </c>
      <c r="C79" s="26">
        <v>2.8828460437538336E-2</v>
      </c>
    </row>
    <row r="80" spans="2:3" hidden="1" x14ac:dyDescent="0.35">
      <c r="B80" s="24" t="s">
        <v>183</v>
      </c>
      <c r="C80" s="26">
        <v>8.673469387755102E-2</v>
      </c>
    </row>
    <row r="81" spans="2:3" x14ac:dyDescent="0.35">
      <c r="B81" s="24" t="s">
        <v>192</v>
      </c>
      <c r="C81" s="26">
        <v>3.0251582034264549E-2</v>
      </c>
    </row>
    <row r="82" spans="2:3" hidden="1" x14ac:dyDescent="0.35">
      <c r="B82" s="24" t="s">
        <v>183</v>
      </c>
      <c r="C82" s="26">
        <v>4.4882144010332581E-2</v>
      </c>
    </row>
    <row r="83" spans="2:3" hidden="1" x14ac:dyDescent="0.35">
      <c r="B83" s="24" t="s">
        <v>183</v>
      </c>
      <c r="C83" s="26">
        <v>4.627844195912071E-2</v>
      </c>
    </row>
    <row r="84" spans="2:3" hidden="1" x14ac:dyDescent="0.35">
      <c r="B84" s="24" t="s">
        <v>201</v>
      </c>
      <c r="C84" s="26">
        <v>4.647256438969765E-2</v>
      </c>
    </row>
    <row r="85" spans="2:3" x14ac:dyDescent="0.35">
      <c r="B85" s="24" t="s">
        <v>192</v>
      </c>
      <c r="C85" s="26">
        <v>3.2667569397427217E-2</v>
      </c>
    </row>
    <row r="86" spans="2:3" x14ac:dyDescent="0.35">
      <c r="B86" s="24" t="s">
        <v>192</v>
      </c>
      <c r="C86" s="26">
        <v>4.2553191489361701E-2</v>
      </c>
    </row>
    <row r="87" spans="2:3" x14ac:dyDescent="0.35">
      <c r="B87" s="24" t="s">
        <v>192</v>
      </c>
      <c r="C87" s="26">
        <v>2.923433874709977E-2</v>
      </c>
    </row>
    <row r="88" spans="2:3" hidden="1" x14ac:dyDescent="0.35">
      <c r="B88" s="24" t="s">
        <v>201</v>
      </c>
      <c r="C88" s="26">
        <v>4.6367851622874809E-2</v>
      </c>
    </row>
    <row r="89" spans="2:3" hidden="1" x14ac:dyDescent="0.35">
      <c r="B89" s="24" t="s">
        <v>201</v>
      </c>
      <c r="C89" s="26">
        <v>3.7590022835060598E-2</v>
      </c>
    </row>
    <row r="90" spans="2:3" hidden="1" x14ac:dyDescent="0.35">
      <c r="B90" s="24" t="s">
        <v>201</v>
      </c>
      <c r="C90" s="26">
        <v>4.9555273189326558E-2</v>
      </c>
    </row>
    <row r="91" spans="2:3" hidden="1" x14ac:dyDescent="0.35">
      <c r="B91" s="24" t="s">
        <v>201</v>
      </c>
      <c r="C91" s="26">
        <v>4.1506611823095486E-2</v>
      </c>
    </row>
    <row r="92" spans="2:3" hidden="1" x14ac:dyDescent="0.35">
      <c r="B92" s="24" t="s">
        <v>201</v>
      </c>
      <c r="C92" s="26">
        <v>5.488984416980118E-2</v>
      </c>
    </row>
    <row r="93" spans="2:3" x14ac:dyDescent="0.35">
      <c r="B93" s="24" t="s">
        <v>206</v>
      </c>
      <c r="C93" s="26">
        <v>0</v>
      </c>
    </row>
  </sheetData>
  <autoFilter ref="B1:C93" xr:uid="{CB2E1FE6-0C04-4C85-805B-1DFD76E78145}">
    <filterColumn colId="0">
      <filters>
        <filter val="Ballard"/>
        <filter val="Central"/>
        <filter val="Delridge Neighborhoods"/>
        <filter val="Downtown"/>
        <filter val="East"/>
        <filter val="Greater Duwamish"/>
        <filter val="Hub Urban Village"/>
        <filter val="Lake Union"/>
        <filter val="Magnolia/Queen Anne"/>
        <filter val="Manufacturing Industrial"/>
      </filters>
    </filterColumn>
  </autoFilter>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3CCA2-C196-4FA5-B5A0-A007BCEE4B69}">
  <sheetPr filterMode="1"/>
  <dimension ref="B2:C46"/>
  <sheetViews>
    <sheetView topLeftCell="A17" workbookViewId="0">
      <selection activeCell="P15" sqref="P15"/>
    </sheetView>
  </sheetViews>
  <sheetFormatPr defaultRowHeight="14.5" x14ac:dyDescent="0.35"/>
  <cols>
    <col min="2" max="2" width="21.7265625" bestFit="1" customWidth="1"/>
    <col min="3" max="3" width="32.26953125" bestFit="1" customWidth="1"/>
  </cols>
  <sheetData>
    <row r="2" spans="2:3" x14ac:dyDescent="0.35">
      <c r="B2" s="11" t="s">
        <v>300</v>
      </c>
      <c r="C2" t="s">
        <v>306</v>
      </c>
    </row>
    <row r="3" spans="2:3" x14ac:dyDescent="0.35">
      <c r="B3" s="14" t="s">
        <v>116</v>
      </c>
      <c r="C3" s="15">
        <v>3.102577381365303</v>
      </c>
    </row>
    <row r="4" spans="2:3" x14ac:dyDescent="0.35">
      <c r="B4" s="14" t="s">
        <v>164</v>
      </c>
      <c r="C4" s="15">
        <v>2.1091578148733374</v>
      </c>
    </row>
    <row r="5" spans="2:3" x14ac:dyDescent="0.35">
      <c r="B5" s="14" t="s">
        <v>146</v>
      </c>
      <c r="C5" s="15">
        <v>3.6511030212010818</v>
      </c>
    </row>
    <row r="6" spans="2:3" x14ac:dyDescent="0.35">
      <c r="B6" s="14" t="s">
        <v>128</v>
      </c>
      <c r="C6" s="15">
        <v>2.0635425526264628</v>
      </c>
    </row>
    <row r="7" spans="2:3" x14ac:dyDescent="0.35">
      <c r="B7" s="14" t="s">
        <v>168</v>
      </c>
      <c r="C7" s="15">
        <v>3.6625373679833135</v>
      </c>
    </row>
    <row r="8" spans="2:3" x14ac:dyDescent="0.35">
      <c r="B8" s="14" t="s">
        <v>152</v>
      </c>
      <c r="C8" s="15">
        <v>4.3295322065417441</v>
      </c>
    </row>
    <row r="9" spans="2:3" x14ac:dyDescent="0.35">
      <c r="B9" s="14" t="s">
        <v>192</v>
      </c>
      <c r="C9" s="15">
        <v>4.6542540557156933</v>
      </c>
    </row>
    <row r="10" spans="2:3" x14ac:dyDescent="0.35">
      <c r="B10" s="14" t="s">
        <v>120</v>
      </c>
      <c r="C10" s="15">
        <v>2.4816170237294441</v>
      </c>
    </row>
    <row r="11" spans="2:3" x14ac:dyDescent="0.35">
      <c r="B11" s="14" t="s">
        <v>124</v>
      </c>
      <c r="C11" s="15">
        <v>2.3191997278213528</v>
      </c>
    </row>
    <row r="12" spans="2:3" x14ac:dyDescent="0.35">
      <c r="B12" s="14" t="s">
        <v>206</v>
      </c>
      <c r="C12" s="15">
        <v>0.78251599147121531</v>
      </c>
    </row>
    <row r="13" spans="2:3" x14ac:dyDescent="0.35">
      <c r="B13" s="14" t="s">
        <v>106</v>
      </c>
      <c r="C13" s="15">
        <v>2.1224785410266964</v>
      </c>
    </row>
    <row r="14" spans="2:3" x14ac:dyDescent="0.35">
      <c r="B14" s="14" t="s">
        <v>174</v>
      </c>
      <c r="C14" s="15">
        <v>3.3983291533514151</v>
      </c>
    </row>
    <row r="15" spans="2:3" x14ac:dyDescent="0.35">
      <c r="B15" s="14" t="s">
        <v>110</v>
      </c>
      <c r="C15" s="15">
        <v>3.7363942920658086</v>
      </c>
    </row>
    <row r="16" spans="2:3" x14ac:dyDescent="0.35">
      <c r="B16" s="14" t="s">
        <v>180</v>
      </c>
      <c r="C16" s="15">
        <v>0.72639129795678381</v>
      </c>
    </row>
    <row r="17" spans="2:3" x14ac:dyDescent="0.35">
      <c r="B17" s="14" t="s">
        <v>183</v>
      </c>
      <c r="C17" s="15">
        <v>13.763796212801928</v>
      </c>
    </row>
    <row r="18" spans="2:3" x14ac:dyDescent="0.35">
      <c r="B18" s="14" t="s">
        <v>159</v>
      </c>
      <c r="C18" s="15">
        <v>2.8607696039309465</v>
      </c>
    </row>
    <row r="19" spans="2:3" x14ac:dyDescent="0.35">
      <c r="B19" s="14" t="s">
        <v>141</v>
      </c>
      <c r="C19" s="15">
        <v>2.8543771968683527</v>
      </c>
    </row>
    <row r="20" spans="2:3" x14ac:dyDescent="0.35">
      <c r="B20" s="14" t="s">
        <v>133</v>
      </c>
      <c r="C20" s="15">
        <v>5.1694134080086531</v>
      </c>
    </row>
    <row r="21" spans="2:3" x14ac:dyDescent="0.35">
      <c r="B21" s="14" t="s">
        <v>201</v>
      </c>
      <c r="C21" s="15">
        <v>4.4489351436813411</v>
      </c>
    </row>
    <row r="22" spans="2:3" x14ac:dyDescent="0.35">
      <c r="B22" s="14" t="s">
        <v>299</v>
      </c>
      <c r="C22" s="15">
        <v>68.236921993020871</v>
      </c>
    </row>
    <row r="27" spans="2:3" x14ac:dyDescent="0.35">
      <c r="B27" s="24" t="s">
        <v>300</v>
      </c>
      <c r="C27" s="24" t="s">
        <v>306</v>
      </c>
    </row>
    <row r="28" spans="2:3" x14ac:dyDescent="0.35">
      <c r="B28" s="24" t="s">
        <v>116</v>
      </c>
      <c r="C28" s="27">
        <v>3.102577381365303</v>
      </c>
    </row>
    <row r="29" spans="2:3" x14ac:dyDescent="0.35">
      <c r="B29" s="24" t="s">
        <v>164</v>
      </c>
      <c r="C29" s="27">
        <v>2.1091578148733374</v>
      </c>
    </row>
    <row r="30" spans="2:3" x14ac:dyDescent="0.35">
      <c r="B30" s="24" t="s">
        <v>146</v>
      </c>
      <c r="C30" s="27">
        <v>3.6511030212010818</v>
      </c>
    </row>
    <row r="31" spans="2:3" x14ac:dyDescent="0.35">
      <c r="B31" s="24" t="s">
        <v>128</v>
      </c>
      <c r="C31" s="27">
        <v>2.0635425526264628</v>
      </c>
    </row>
    <row r="32" spans="2:3" x14ac:dyDescent="0.35">
      <c r="B32" s="24" t="s">
        <v>168</v>
      </c>
      <c r="C32" s="27">
        <v>3.6625373679833135</v>
      </c>
    </row>
    <row r="33" spans="2:3" x14ac:dyDescent="0.35">
      <c r="B33" s="24" t="s">
        <v>152</v>
      </c>
      <c r="C33" s="27">
        <v>4.3295322065417441</v>
      </c>
    </row>
    <row r="34" spans="2:3" x14ac:dyDescent="0.35">
      <c r="B34" s="24" t="s">
        <v>192</v>
      </c>
      <c r="C34" s="27">
        <v>4.6542540557156933</v>
      </c>
    </row>
    <row r="35" spans="2:3" x14ac:dyDescent="0.35">
      <c r="B35" s="24" t="s">
        <v>120</v>
      </c>
      <c r="C35" s="27">
        <v>2.4816170237294441</v>
      </c>
    </row>
    <row r="36" spans="2:3" x14ac:dyDescent="0.35">
      <c r="B36" s="24" t="s">
        <v>124</v>
      </c>
      <c r="C36" s="27">
        <v>2.3191997278213528</v>
      </c>
    </row>
    <row r="37" spans="2:3" x14ac:dyDescent="0.35">
      <c r="B37" s="24" t="s">
        <v>206</v>
      </c>
      <c r="C37" s="27">
        <v>0.78251599147121531</v>
      </c>
    </row>
    <row r="38" spans="2:3" hidden="1" x14ac:dyDescent="0.35">
      <c r="B38" s="24" t="s">
        <v>106</v>
      </c>
      <c r="C38" s="24">
        <v>2.1224785410266964</v>
      </c>
    </row>
    <row r="39" spans="2:3" hidden="1" x14ac:dyDescent="0.35">
      <c r="B39" s="24" t="s">
        <v>174</v>
      </c>
      <c r="C39" s="24">
        <v>3.3983291533514151</v>
      </c>
    </row>
    <row r="40" spans="2:3" hidden="1" x14ac:dyDescent="0.35">
      <c r="B40" s="24" t="s">
        <v>110</v>
      </c>
      <c r="C40" s="24">
        <v>3.7363942920658086</v>
      </c>
    </row>
    <row r="41" spans="2:3" hidden="1" x14ac:dyDescent="0.35">
      <c r="B41" s="24" t="s">
        <v>180</v>
      </c>
      <c r="C41" s="24">
        <v>0.72639129795678381</v>
      </c>
    </row>
    <row r="42" spans="2:3" hidden="1" x14ac:dyDescent="0.35">
      <c r="B42" s="24" t="s">
        <v>183</v>
      </c>
      <c r="C42" s="24">
        <v>13.763796212801928</v>
      </c>
    </row>
    <row r="43" spans="2:3" hidden="1" x14ac:dyDescent="0.35">
      <c r="B43" s="24" t="s">
        <v>159</v>
      </c>
      <c r="C43" s="24">
        <v>2.8607696039309465</v>
      </c>
    </row>
    <row r="44" spans="2:3" hidden="1" x14ac:dyDescent="0.35">
      <c r="B44" s="24" t="s">
        <v>141</v>
      </c>
      <c r="C44" s="24">
        <v>2.8543771968683527</v>
      </c>
    </row>
    <row r="45" spans="2:3" hidden="1" x14ac:dyDescent="0.35">
      <c r="B45" s="24" t="s">
        <v>133</v>
      </c>
      <c r="C45" s="24">
        <v>5.1694134080086531</v>
      </c>
    </row>
    <row r="46" spans="2:3" hidden="1" x14ac:dyDescent="0.35">
      <c r="B46" s="24" t="s">
        <v>201</v>
      </c>
      <c r="C46" s="24">
        <v>4.4489351436813411</v>
      </c>
    </row>
  </sheetData>
  <autoFilter ref="B27:C46" xr:uid="{EFD3CCA2-C196-4FA5-B5A0-A007BCEE4B69}">
    <filterColumn colId="1">
      <top10 val="10" filterVal="4.1236810252349876E-2"/>
    </filterColumn>
    <sortState xmlns:xlrd2="http://schemas.microsoft.com/office/spreadsheetml/2017/richdata2" ref="B28:C46">
      <sortCondition descending="1" ref="C27:C46"/>
    </sortState>
  </autoFilter>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CBACE-A823-4970-A11C-4547850AAD8F}">
  <dimension ref="B2:D51"/>
  <sheetViews>
    <sheetView workbookViewId="0">
      <selection activeCell="E7" sqref="E7"/>
    </sheetView>
  </sheetViews>
  <sheetFormatPr defaultRowHeight="14.5" x14ac:dyDescent="0.35"/>
  <cols>
    <col min="2" max="2" width="21.7265625" bestFit="1" customWidth="1"/>
    <col min="3" max="3" width="25.90625" bestFit="1" customWidth="1"/>
    <col min="4" max="4" width="31.6328125" bestFit="1" customWidth="1"/>
    <col min="5" max="5" width="32.1796875" bestFit="1" customWidth="1"/>
    <col min="6" max="6" width="23.90625" customWidth="1"/>
  </cols>
  <sheetData>
    <row r="2" spans="2:4" x14ac:dyDescent="0.35">
      <c r="B2" t="s">
        <v>341</v>
      </c>
    </row>
    <row r="3" spans="2:4" x14ac:dyDescent="0.35">
      <c r="B3" s="11" t="s">
        <v>70</v>
      </c>
      <c r="C3" t="s">
        <v>301</v>
      </c>
    </row>
    <row r="5" spans="2:4" x14ac:dyDescent="0.35">
      <c r="B5" s="11" t="s">
        <v>300</v>
      </c>
      <c r="C5" t="s">
        <v>308</v>
      </c>
      <c r="D5" t="s">
        <v>309</v>
      </c>
    </row>
    <row r="6" spans="2:4" x14ac:dyDescent="0.35">
      <c r="B6" s="14" t="s">
        <v>116</v>
      </c>
      <c r="C6" s="15">
        <v>0.74448398789707648</v>
      </c>
      <c r="D6" s="15">
        <v>0.77564434534132576</v>
      </c>
    </row>
    <row r="7" spans="2:4" x14ac:dyDescent="0.35">
      <c r="B7" s="14" t="s">
        <v>164</v>
      </c>
      <c r="C7" s="15">
        <v>0.66563734553728182</v>
      </c>
      <c r="D7" s="15">
        <v>0.7030526049577791</v>
      </c>
    </row>
    <row r="8" spans="2:4" x14ac:dyDescent="0.35">
      <c r="B8" s="14" t="s">
        <v>146</v>
      </c>
      <c r="C8" s="15">
        <v>0.69629276798037432</v>
      </c>
      <c r="D8" s="15">
        <v>0.7302206042402164</v>
      </c>
    </row>
    <row r="9" spans="2:4" x14ac:dyDescent="0.35">
      <c r="B9" s="14" t="s">
        <v>128</v>
      </c>
      <c r="C9" s="15">
        <v>0.65922744347654005</v>
      </c>
      <c r="D9" s="15">
        <v>0.68784751754215423</v>
      </c>
    </row>
    <row r="10" spans="2:4" x14ac:dyDescent="0.35">
      <c r="B10" s="14" t="s">
        <v>168</v>
      </c>
      <c r="C10" s="15">
        <v>0.68440052263449569</v>
      </c>
      <c r="D10" s="15">
        <v>0.73250747359666268</v>
      </c>
    </row>
    <row r="11" spans="2:4" x14ac:dyDescent="0.35">
      <c r="B11" s="14" t="s">
        <v>152</v>
      </c>
      <c r="C11" s="15">
        <v>0.69550873094212573</v>
      </c>
      <c r="D11" s="15">
        <v>0.72158870109029072</v>
      </c>
    </row>
    <row r="12" spans="2:4" x14ac:dyDescent="0.35">
      <c r="B12" s="14" t="s">
        <v>192</v>
      </c>
      <c r="C12" s="15">
        <v>0.7441233182574245</v>
      </c>
      <c r="D12" s="15">
        <v>0.77570900928594888</v>
      </c>
    </row>
    <row r="13" spans="2:4" x14ac:dyDescent="0.35">
      <c r="B13" s="14" t="s">
        <v>120</v>
      </c>
      <c r="C13" s="15">
        <v>0.79379756482436459</v>
      </c>
      <c r="D13" s="15">
        <v>0.82720567457648142</v>
      </c>
    </row>
    <row r="14" spans="2:4" x14ac:dyDescent="0.35">
      <c r="B14" s="14" t="s">
        <v>124</v>
      </c>
      <c r="C14" s="15">
        <v>0.74893446588023693</v>
      </c>
      <c r="D14" s="15">
        <v>0.77306657594045092</v>
      </c>
    </row>
    <row r="15" spans="2:4" x14ac:dyDescent="0.35">
      <c r="B15" s="14" t="s">
        <v>206</v>
      </c>
      <c r="C15" s="15">
        <v>0.78251599147121531</v>
      </c>
      <c r="D15" s="15">
        <v>0.78251599147121531</v>
      </c>
    </row>
    <row r="16" spans="2:4" x14ac:dyDescent="0.35">
      <c r="B16" s="14" t="s">
        <v>106</v>
      </c>
      <c r="C16" s="15">
        <v>0.67559624724531941</v>
      </c>
      <c r="D16" s="15">
        <v>0.70749284700889881</v>
      </c>
    </row>
    <row r="17" spans="2:4" x14ac:dyDescent="0.35">
      <c r="B17" s="14" t="s">
        <v>174</v>
      </c>
      <c r="C17" s="15">
        <v>0.64625630206563567</v>
      </c>
      <c r="D17" s="15">
        <v>0.67966583067028297</v>
      </c>
    </row>
    <row r="18" spans="2:4" x14ac:dyDescent="0.35">
      <c r="B18" s="14" t="s">
        <v>110</v>
      </c>
      <c r="C18" s="15">
        <v>0.71745198679885558</v>
      </c>
      <c r="D18" s="15">
        <v>0.74727885841316177</v>
      </c>
    </row>
    <row r="19" spans="2:4" x14ac:dyDescent="0.35">
      <c r="B19" s="14" t="s">
        <v>180</v>
      </c>
      <c r="C19" s="15">
        <v>0.69968543289725116</v>
      </c>
      <c r="D19" s="15">
        <v>0.72639129795678381</v>
      </c>
    </row>
    <row r="20" spans="2:4" x14ac:dyDescent="0.35">
      <c r="B20" s="14" t="s">
        <v>183</v>
      </c>
      <c r="C20" s="15">
        <v>0.73130785719225022</v>
      </c>
      <c r="D20" s="15">
        <v>0.76465534515566269</v>
      </c>
    </row>
    <row r="21" spans="2:4" x14ac:dyDescent="0.35">
      <c r="B21" s="14" t="s">
        <v>159</v>
      </c>
      <c r="C21" s="15">
        <v>0.69414937211541006</v>
      </c>
      <c r="D21" s="15">
        <v>0.71519240098273662</v>
      </c>
    </row>
    <row r="22" spans="2:4" x14ac:dyDescent="0.35">
      <c r="B22" s="14" t="s">
        <v>141</v>
      </c>
      <c r="C22" s="15">
        <v>0.68977863480805179</v>
      </c>
      <c r="D22" s="15">
        <v>0.71359429921708817</v>
      </c>
    </row>
    <row r="23" spans="2:4" x14ac:dyDescent="0.35">
      <c r="B23" s="14" t="s">
        <v>133</v>
      </c>
      <c r="C23" s="15">
        <v>0.70731660839433086</v>
      </c>
      <c r="D23" s="15">
        <v>0.73848762971552184</v>
      </c>
    </row>
    <row r="24" spans="2:4" x14ac:dyDescent="0.35">
      <c r="B24" s="14" t="s">
        <v>201</v>
      </c>
      <c r="C24" s="15">
        <v>0.70068584527822309</v>
      </c>
      <c r="D24" s="15">
        <v>0.74148919061355689</v>
      </c>
    </row>
    <row r="25" spans="2:4" x14ac:dyDescent="0.35">
      <c r="B25" s="14" t="s">
        <v>299</v>
      </c>
      <c r="C25" s="15">
        <v>0.70982719083724055</v>
      </c>
      <c r="D25" s="15">
        <v>0.74170567383718322</v>
      </c>
    </row>
    <row r="31" spans="2:4" x14ac:dyDescent="0.35">
      <c r="C31" s="44" t="s">
        <v>311</v>
      </c>
      <c r="D31" s="44"/>
    </row>
    <row r="32" spans="2:4" x14ac:dyDescent="0.35">
      <c r="B32" t="s">
        <v>71</v>
      </c>
      <c r="C32" t="s">
        <v>312</v>
      </c>
      <c r="D32" t="s">
        <v>313</v>
      </c>
    </row>
    <row r="33" spans="2:4" x14ac:dyDescent="0.35">
      <c r="B33" t="s">
        <v>116</v>
      </c>
      <c r="C33" s="15">
        <v>0.74448398789707648</v>
      </c>
      <c r="D33" s="15">
        <v>0.77564434534132576</v>
      </c>
    </row>
    <row r="34" spans="2:4" hidden="1" x14ac:dyDescent="0.35">
      <c r="B34" t="s">
        <v>164</v>
      </c>
      <c r="C34" s="15">
        <v>0.66563734553728182</v>
      </c>
      <c r="D34" s="15">
        <v>0.7030526049577791</v>
      </c>
    </row>
    <row r="35" spans="2:4" hidden="1" x14ac:dyDescent="0.35">
      <c r="B35" t="s">
        <v>146</v>
      </c>
      <c r="C35" s="15">
        <v>0.69629276798037432</v>
      </c>
      <c r="D35" s="15">
        <v>0.7302206042402164</v>
      </c>
    </row>
    <row r="36" spans="2:4" hidden="1" x14ac:dyDescent="0.35">
      <c r="B36" t="s">
        <v>128</v>
      </c>
      <c r="C36" s="15">
        <v>0.65922744347654005</v>
      </c>
      <c r="D36" s="15">
        <v>0.68784751754215423</v>
      </c>
    </row>
    <row r="37" spans="2:4" hidden="1" x14ac:dyDescent="0.35">
      <c r="B37" t="s">
        <v>168</v>
      </c>
      <c r="C37" s="15">
        <v>0.68440052263449569</v>
      </c>
      <c r="D37" s="15">
        <v>0.73250747359666268</v>
      </c>
    </row>
    <row r="38" spans="2:4" hidden="1" x14ac:dyDescent="0.35">
      <c r="B38" t="s">
        <v>152</v>
      </c>
      <c r="C38" s="15">
        <v>0.69550873094212573</v>
      </c>
      <c r="D38" s="15">
        <v>0.72158870109029072</v>
      </c>
    </row>
    <row r="39" spans="2:4" x14ac:dyDescent="0.35">
      <c r="B39" t="s">
        <v>192</v>
      </c>
      <c r="C39" s="15">
        <v>0.7441233182574245</v>
      </c>
      <c r="D39" s="15">
        <v>0.77570900928594888</v>
      </c>
    </row>
    <row r="40" spans="2:4" x14ac:dyDescent="0.35">
      <c r="B40" t="s">
        <v>120</v>
      </c>
      <c r="C40" s="15">
        <v>0.79379756482436459</v>
      </c>
      <c r="D40" s="15">
        <v>0.82720567457648142</v>
      </c>
    </row>
    <row r="41" spans="2:4" x14ac:dyDescent="0.35">
      <c r="B41" t="s">
        <v>124</v>
      </c>
      <c r="C41" s="15">
        <v>0.74893446588023693</v>
      </c>
      <c r="D41" s="15">
        <v>0.77306657594045092</v>
      </c>
    </row>
    <row r="42" spans="2:4" x14ac:dyDescent="0.35">
      <c r="B42" t="s">
        <v>206</v>
      </c>
      <c r="C42" s="15">
        <v>0.78251599147121531</v>
      </c>
      <c r="D42" s="15">
        <v>0.78251599147121531</v>
      </c>
    </row>
    <row r="43" spans="2:4" hidden="1" x14ac:dyDescent="0.35">
      <c r="B43" t="s">
        <v>106</v>
      </c>
      <c r="C43" s="15">
        <v>0.67559624724531941</v>
      </c>
      <c r="D43" s="15">
        <v>0.70749284700889881</v>
      </c>
    </row>
    <row r="44" spans="2:4" hidden="1" x14ac:dyDescent="0.35">
      <c r="B44" t="s">
        <v>174</v>
      </c>
      <c r="C44" s="15">
        <v>0.64625630206563567</v>
      </c>
      <c r="D44" s="15">
        <v>0.67966583067028297</v>
      </c>
    </row>
    <row r="45" spans="2:4" x14ac:dyDescent="0.35">
      <c r="B45" t="s">
        <v>110</v>
      </c>
      <c r="C45" s="15">
        <v>0.71745198679885558</v>
      </c>
      <c r="D45" s="15">
        <v>0.74727885841316177</v>
      </c>
    </row>
    <row r="46" spans="2:4" x14ac:dyDescent="0.35">
      <c r="B46" t="s">
        <v>180</v>
      </c>
      <c r="C46" s="15">
        <v>0.69968543289725116</v>
      </c>
      <c r="D46" s="15">
        <v>0.72639129795678381</v>
      </c>
    </row>
    <row r="47" spans="2:4" x14ac:dyDescent="0.35">
      <c r="B47" t="s">
        <v>183</v>
      </c>
      <c r="C47" s="15">
        <v>0.73130785719225022</v>
      </c>
      <c r="D47" s="15">
        <v>0.76465534515566269</v>
      </c>
    </row>
    <row r="48" spans="2:4" hidden="1" x14ac:dyDescent="0.35">
      <c r="B48" t="s">
        <v>159</v>
      </c>
      <c r="C48" s="15">
        <v>0.69414937211541006</v>
      </c>
      <c r="D48" s="15">
        <v>0.71519240098273662</v>
      </c>
    </row>
    <row r="49" spans="2:4" hidden="1" x14ac:dyDescent="0.35">
      <c r="B49" t="s">
        <v>141</v>
      </c>
      <c r="C49" s="15">
        <v>0.68977863480805179</v>
      </c>
      <c r="D49" s="15">
        <v>0.71359429921708817</v>
      </c>
    </row>
    <row r="50" spans="2:4" x14ac:dyDescent="0.35">
      <c r="B50" t="s">
        <v>133</v>
      </c>
      <c r="C50" s="15">
        <v>0.70731660839433086</v>
      </c>
      <c r="D50" s="15">
        <v>0.73848762971552184</v>
      </c>
    </row>
    <row r="51" spans="2:4" x14ac:dyDescent="0.35">
      <c r="B51" t="s">
        <v>201</v>
      </c>
      <c r="C51" s="15">
        <v>0.70068584527822309</v>
      </c>
      <c r="D51" s="15">
        <v>0.74148919061355689</v>
      </c>
    </row>
  </sheetData>
  <mergeCells count="1">
    <mergeCell ref="C31:D31"/>
  </mergeCells>
  <pageMargins left="0.7" right="0.7" top="0.75" bottom="0.75" header="0.3" footer="0.3"/>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CA54-42BA-4577-AFE0-075EDE56BD18}">
  <sheetPr filterMode="1"/>
  <dimension ref="A1:E48"/>
  <sheetViews>
    <sheetView workbookViewId="0">
      <selection activeCell="H20" sqref="H20"/>
    </sheetView>
  </sheetViews>
  <sheetFormatPr defaultRowHeight="14.5" x14ac:dyDescent="0.35"/>
  <cols>
    <col min="1" max="1" width="21.26953125" bestFit="1" customWidth="1"/>
    <col min="2" max="2" width="30.54296875" bestFit="1" customWidth="1"/>
    <col min="3" max="3" width="26.26953125" bestFit="1" customWidth="1"/>
    <col min="4" max="4" width="31.6328125" bestFit="1" customWidth="1"/>
    <col min="5" max="5" width="24" bestFit="1" customWidth="1"/>
  </cols>
  <sheetData>
    <row r="1" spans="1:5" x14ac:dyDescent="0.35">
      <c r="A1" s="11" t="s">
        <v>70</v>
      </c>
      <c r="B1" t="s">
        <v>105</v>
      </c>
    </row>
    <row r="3" spans="1:5" x14ac:dyDescent="0.35">
      <c r="A3" s="11" t="s">
        <v>300</v>
      </c>
      <c r="B3" t="s">
        <v>307</v>
      </c>
      <c r="C3" t="s">
        <v>308</v>
      </c>
      <c r="D3" t="s">
        <v>309</v>
      </c>
      <c r="E3" t="s">
        <v>310</v>
      </c>
    </row>
    <row r="4" spans="1:5" x14ac:dyDescent="0.35">
      <c r="A4" s="14" t="s">
        <v>116</v>
      </c>
      <c r="B4" s="15">
        <v>3.9670963587312827E-2</v>
      </c>
      <c r="C4" s="15">
        <v>0.74448398789707648</v>
      </c>
      <c r="D4" s="15">
        <v>0.77564434534132576</v>
      </c>
      <c r="E4" s="15">
        <v>2.8283251629969728E-2</v>
      </c>
    </row>
    <row r="5" spans="1:5" x14ac:dyDescent="0.35">
      <c r="A5" s="14" t="s">
        <v>164</v>
      </c>
      <c r="B5" s="15">
        <v>5.3077756962968368E-2</v>
      </c>
      <c r="C5" s="15">
        <v>0.66563734553728182</v>
      </c>
      <c r="D5" s="15">
        <v>0.7030526049577791</v>
      </c>
      <c r="E5" s="15">
        <v>9.9276168926720407E-2</v>
      </c>
    </row>
    <row r="6" spans="1:5" x14ac:dyDescent="0.35">
      <c r="A6" s="14" t="s">
        <v>146</v>
      </c>
      <c r="B6" s="15">
        <v>4.6480852722532578E-2</v>
      </c>
      <c r="C6" s="15">
        <v>0.69629276798037432</v>
      </c>
      <c r="D6" s="15">
        <v>0.7302206042402164</v>
      </c>
      <c r="E6" s="15">
        <v>4.5541760539405438E-2</v>
      </c>
    </row>
    <row r="7" spans="1:5" x14ac:dyDescent="0.35">
      <c r="A7" s="14" t="s">
        <v>128</v>
      </c>
      <c r="B7" s="15">
        <v>4.3232185823801485E-2</v>
      </c>
      <c r="C7" s="15">
        <v>0.65922744347654005</v>
      </c>
      <c r="D7" s="15">
        <v>0.68784751754215423</v>
      </c>
      <c r="E7" s="15">
        <v>0.14338476729477154</v>
      </c>
    </row>
    <row r="8" spans="1:5" x14ac:dyDescent="0.35">
      <c r="A8" s="14" t="s">
        <v>168</v>
      </c>
      <c r="B8" s="15">
        <v>6.9039741397517909E-2</v>
      </c>
      <c r="C8" s="15">
        <v>0.68440052263449569</v>
      </c>
      <c r="D8" s="15">
        <v>0.73250747359666279</v>
      </c>
      <c r="E8" s="15">
        <v>3.5113904742691285E-2</v>
      </c>
    </row>
    <row r="9" spans="1:5" x14ac:dyDescent="0.35">
      <c r="A9" s="14" t="s">
        <v>152</v>
      </c>
      <c r="B9" s="15">
        <v>3.6845102948385146E-2</v>
      </c>
      <c r="C9" s="15">
        <v>0.69550873094212573</v>
      </c>
      <c r="D9" s="15">
        <v>0.72158870109029072</v>
      </c>
      <c r="E9" s="15">
        <v>8.7046799576575365E-2</v>
      </c>
    </row>
    <row r="10" spans="1:5" x14ac:dyDescent="0.35">
      <c r="A10" s="14" t="s">
        <v>120</v>
      </c>
      <c r="B10" s="15">
        <v>4.0496619291554646E-2</v>
      </c>
      <c r="C10" s="15">
        <v>0.79379756482436459</v>
      </c>
      <c r="D10" s="15">
        <v>0.82720567457648142</v>
      </c>
      <c r="E10" s="15">
        <v>3.8458009946339959E-2</v>
      </c>
    </row>
    <row r="11" spans="1:5" x14ac:dyDescent="0.35">
      <c r="A11" s="14" t="s">
        <v>124</v>
      </c>
      <c r="B11" s="15">
        <v>3.0704863845282631E-2</v>
      </c>
      <c r="C11" s="15">
        <v>0.74893446588023693</v>
      </c>
      <c r="D11" s="15">
        <v>0.77306657594045092</v>
      </c>
      <c r="E11" s="15">
        <v>2.6271864495313463E-2</v>
      </c>
    </row>
    <row r="12" spans="1:5" x14ac:dyDescent="0.35">
      <c r="A12" s="14" t="s">
        <v>106</v>
      </c>
      <c r="B12" s="15">
        <v>4.5054048487369137E-2</v>
      </c>
      <c r="C12" s="15">
        <v>0.67559624724531941</v>
      </c>
      <c r="D12" s="15">
        <v>0.70749284700889881</v>
      </c>
      <c r="E12" s="15">
        <v>7.2487187700749953E-2</v>
      </c>
    </row>
    <row r="13" spans="1:5" x14ac:dyDescent="0.35">
      <c r="A13" s="14" t="s">
        <v>174</v>
      </c>
      <c r="B13" s="15">
        <v>5.049454599057307E-2</v>
      </c>
      <c r="C13" s="15">
        <v>0.64625630206563578</v>
      </c>
      <c r="D13" s="15">
        <v>0.67966583067028308</v>
      </c>
      <c r="E13" s="15">
        <v>5.0243766543298388E-2</v>
      </c>
    </row>
    <row r="14" spans="1:5" x14ac:dyDescent="0.35">
      <c r="A14" s="14" t="s">
        <v>110</v>
      </c>
      <c r="B14" s="15">
        <v>4.0049545568007792E-2</v>
      </c>
      <c r="C14" s="15">
        <v>0.71745198679885558</v>
      </c>
      <c r="D14" s="15">
        <v>0.74727885841316177</v>
      </c>
      <c r="E14" s="15">
        <v>4.3820353402572294E-2</v>
      </c>
    </row>
    <row r="15" spans="1:5" x14ac:dyDescent="0.35">
      <c r="A15" s="14" t="s">
        <v>159</v>
      </c>
      <c r="B15" s="15">
        <v>2.9521979867700637E-2</v>
      </c>
      <c r="C15" s="15">
        <v>0.69414937211541006</v>
      </c>
      <c r="D15" s="15">
        <v>0.71519240098273662</v>
      </c>
      <c r="E15" s="15">
        <v>7.5679699864206876E-2</v>
      </c>
    </row>
    <row r="16" spans="1:5" x14ac:dyDescent="0.35">
      <c r="A16" s="14" t="s">
        <v>141</v>
      </c>
      <c r="B16" s="15">
        <v>3.3081465046647635E-2</v>
      </c>
      <c r="C16" s="15">
        <v>0.68977863480805179</v>
      </c>
      <c r="D16" s="15">
        <v>0.71359429921708817</v>
      </c>
      <c r="E16" s="15">
        <v>2.0568531827435899E-2</v>
      </c>
    </row>
    <row r="17" spans="1:5" x14ac:dyDescent="0.35">
      <c r="A17" s="14" t="s">
        <v>299</v>
      </c>
      <c r="B17" s="15">
        <v>4.3362039685340401E-2</v>
      </c>
      <c r="C17" s="15">
        <v>0.69883561251364057</v>
      </c>
      <c r="D17" s="15">
        <v>0.73003048836575946</v>
      </c>
      <c r="E17" s="15">
        <v>5.7238483999574041E-2</v>
      </c>
    </row>
    <row r="29" spans="1:5" x14ac:dyDescent="0.35">
      <c r="A29" s="13" t="s">
        <v>300</v>
      </c>
      <c r="B29" s="13" t="s">
        <v>307</v>
      </c>
      <c r="C29" s="13" t="s">
        <v>310</v>
      </c>
    </row>
    <row r="30" spans="1:5" hidden="1" x14ac:dyDescent="0.35">
      <c r="A30" s="14" t="s">
        <v>116</v>
      </c>
      <c r="B30" s="15">
        <v>3.9670963587312799E-2</v>
      </c>
      <c r="C30" s="15">
        <v>2.8283251629969728E-2</v>
      </c>
    </row>
    <row r="31" spans="1:5" x14ac:dyDescent="0.35">
      <c r="A31" s="14" t="s">
        <v>128</v>
      </c>
      <c r="B31" s="15">
        <v>4.3232185823801485E-2</v>
      </c>
      <c r="C31" s="15">
        <v>0.14338476729477154</v>
      </c>
    </row>
    <row r="32" spans="1:5" x14ac:dyDescent="0.35">
      <c r="A32" s="14" t="s">
        <v>201</v>
      </c>
      <c r="B32" s="15">
        <v>5.5702145069306229E-2</v>
      </c>
      <c r="C32" s="15">
        <v>0.10617009475189214</v>
      </c>
    </row>
    <row r="33" spans="1:3" x14ac:dyDescent="0.35">
      <c r="A33" s="14" t="s">
        <v>164</v>
      </c>
      <c r="B33" s="15">
        <v>5.3077756962968368E-2</v>
      </c>
      <c r="C33" s="15">
        <v>9.9276168926720407E-2</v>
      </c>
    </row>
    <row r="34" spans="1:3" x14ac:dyDescent="0.35">
      <c r="A34" s="14" t="s">
        <v>106</v>
      </c>
      <c r="B34" s="15">
        <v>4.5054048487369137E-2</v>
      </c>
      <c r="C34" s="15">
        <v>7.2487187700749953E-2</v>
      </c>
    </row>
    <row r="35" spans="1:3" hidden="1" x14ac:dyDescent="0.35">
      <c r="A35" s="14" t="s">
        <v>152</v>
      </c>
      <c r="B35" s="15">
        <v>3.6845102948385146E-2</v>
      </c>
      <c r="C35" s="15">
        <v>8.7046799576575365E-2</v>
      </c>
    </row>
    <row r="36" spans="1:3" x14ac:dyDescent="0.35">
      <c r="A36" s="14" t="s">
        <v>192</v>
      </c>
      <c r="B36" s="15">
        <v>4.1236810252349876E-2</v>
      </c>
      <c r="C36" s="15">
        <v>7.0793403367025706E-2</v>
      </c>
    </row>
    <row r="37" spans="1:3" hidden="1" x14ac:dyDescent="0.35">
      <c r="A37" s="14" t="s">
        <v>120</v>
      </c>
      <c r="B37" s="15">
        <v>4.0496619291554646E-2</v>
      </c>
      <c r="C37" s="15">
        <v>3.8458009946339959E-2</v>
      </c>
    </row>
    <row r="38" spans="1:3" hidden="1" x14ac:dyDescent="0.35">
      <c r="A38" s="14" t="s">
        <v>124</v>
      </c>
      <c r="B38" s="15">
        <v>3.0704863845282631E-2</v>
      </c>
      <c r="C38" s="15">
        <v>2.6271864495313463E-2</v>
      </c>
    </row>
    <row r="39" spans="1:3" hidden="1" x14ac:dyDescent="0.35">
      <c r="A39" s="14" t="s">
        <v>206</v>
      </c>
      <c r="B39" s="15">
        <v>0</v>
      </c>
      <c r="C39" s="15">
        <v>0</v>
      </c>
    </row>
    <row r="40" spans="1:3" x14ac:dyDescent="0.35">
      <c r="A40" s="14" t="s">
        <v>183</v>
      </c>
      <c r="B40" s="15">
        <v>4.4241785527275659E-2</v>
      </c>
      <c r="C40" s="15">
        <v>6.2658970055385219E-2</v>
      </c>
    </row>
    <row r="41" spans="1:3" x14ac:dyDescent="0.35">
      <c r="A41" s="14" t="s">
        <v>174</v>
      </c>
      <c r="B41" s="15">
        <v>5.049454599057307E-2</v>
      </c>
      <c r="C41" s="15">
        <v>5.0243766543298388E-2</v>
      </c>
    </row>
    <row r="42" spans="1:3" hidden="1" x14ac:dyDescent="0.35">
      <c r="A42" s="14" t="s">
        <v>110</v>
      </c>
      <c r="B42" s="15">
        <v>4.0049545568007792E-2</v>
      </c>
      <c r="C42" s="15">
        <v>4.3820353402572294E-2</v>
      </c>
    </row>
    <row r="43" spans="1:3" hidden="1" x14ac:dyDescent="0.35">
      <c r="A43" s="14" t="s">
        <v>180</v>
      </c>
      <c r="B43" s="15">
        <v>3.6765122509935973E-2</v>
      </c>
      <c r="C43" s="15">
        <v>3.2149923623427619E-2</v>
      </c>
    </row>
    <row r="44" spans="1:3" x14ac:dyDescent="0.35">
      <c r="A44" s="14" t="s">
        <v>133</v>
      </c>
      <c r="B44" s="15">
        <v>4.2238772798940449E-2</v>
      </c>
      <c r="C44" s="15">
        <v>4.8107057434190741E-2</v>
      </c>
    </row>
    <row r="45" spans="1:3" hidden="1" x14ac:dyDescent="0.35">
      <c r="A45" s="14" t="s">
        <v>159</v>
      </c>
      <c r="B45" s="15">
        <v>2.9521979867700637E-2</v>
      </c>
      <c r="C45" s="15">
        <v>7.5679699864206876E-2</v>
      </c>
    </row>
    <row r="46" spans="1:3" hidden="1" x14ac:dyDescent="0.35">
      <c r="A46" s="14" t="s">
        <v>141</v>
      </c>
      <c r="B46" s="15">
        <v>3.3081465046647635E-2</v>
      </c>
      <c r="C46" s="15">
        <v>2.0568531827435899E-2</v>
      </c>
    </row>
    <row r="47" spans="1:3" x14ac:dyDescent="0.35">
      <c r="A47" s="14" t="s">
        <v>146</v>
      </c>
      <c r="B47" s="15">
        <v>4.6480852722532578E-2</v>
      </c>
      <c r="C47" s="15">
        <v>4.5541760539405438E-2</v>
      </c>
    </row>
    <row r="48" spans="1:3" x14ac:dyDescent="0.35">
      <c r="A48" s="14" t="s">
        <v>168</v>
      </c>
      <c r="B48" s="15">
        <v>6.9039741397517895E-2</v>
      </c>
      <c r="C48" s="15">
        <v>3.5113904742691285E-2</v>
      </c>
    </row>
  </sheetData>
  <autoFilter ref="A29:C48" xr:uid="{6190CA54-42BA-4577-AFE0-075EDE56BD18}">
    <filterColumn colId="1">
      <top10 val="10" filterVal="4.1236810252349876E-2"/>
    </filterColumn>
    <sortState xmlns:xlrd2="http://schemas.microsoft.com/office/spreadsheetml/2017/richdata2" ref="A31:C48">
      <sortCondition descending="1" ref="C29:C48"/>
    </sortState>
  </autoFilter>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7365F-90B8-4D2F-92EF-3693E06D5043}">
  <dimension ref="B2:D51"/>
  <sheetViews>
    <sheetView topLeftCell="B1" workbookViewId="0">
      <selection activeCell="R23" sqref="R23"/>
    </sheetView>
  </sheetViews>
  <sheetFormatPr defaultRowHeight="14.5" x14ac:dyDescent="0.35"/>
  <cols>
    <col min="2" max="2" width="22.54296875" bestFit="1" customWidth="1"/>
    <col min="3" max="3" width="33.08984375" bestFit="1" customWidth="1"/>
    <col min="4" max="4" width="35.90625" bestFit="1" customWidth="1"/>
  </cols>
  <sheetData>
    <row r="2" spans="2:4" x14ac:dyDescent="0.35">
      <c r="B2" s="11" t="s">
        <v>71</v>
      </c>
      <c r="C2" t="s">
        <v>315</v>
      </c>
      <c r="D2" t="s">
        <v>314</v>
      </c>
    </row>
    <row r="3" spans="2:4" x14ac:dyDescent="0.35">
      <c r="B3" s="14" t="s">
        <v>116</v>
      </c>
      <c r="C3" s="23">
        <v>10460</v>
      </c>
      <c r="D3" s="23">
        <v>35851</v>
      </c>
    </row>
    <row r="4" spans="2:4" x14ac:dyDescent="0.35">
      <c r="B4" s="14" t="s">
        <v>164</v>
      </c>
      <c r="C4" s="23">
        <v>8992</v>
      </c>
      <c r="D4" s="23">
        <v>24308</v>
      </c>
    </row>
    <row r="5" spans="2:4" x14ac:dyDescent="0.35">
      <c r="B5" s="14" t="s">
        <v>146</v>
      </c>
      <c r="C5" s="23">
        <v>9435</v>
      </c>
      <c r="D5" s="23">
        <v>25537</v>
      </c>
    </row>
    <row r="6" spans="2:4" x14ac:dyDescent="0.35">
      <c r="B6" s="14" t="s">
        <v>128</v>
      </c>
      <c r="C6" s="23">
        <v>6649</v>
      </c>
      <c r="D6" s="23">
        <v>16689</v>
      </c>
    </row>
    <row r="7" spans="2:4" x14ac:dyDescent="0.35">
      <c r="B7" s="14" t="s">
        <v>168</v>
      </c>
      <c r="C7" s="23">
        <v>14380</v>
      </c>
      <c r="D7" s="23">
        <v>47153</v>
      </c>
    </row>
    <row r="8" spans="2:4" x14ac:dyDescent="0.35">
      <c r="B8" s="14" t="s">
        <v>152</v>
      </c>
      <c r="C8" s="23">
        <v>12727</v>
      </c>
      <c r="D8" s="23">
        <v>28847</v>
      </c>
    </row>
    <row r="9" spans="2:4" x14ac:dyDescent="0.35">
      <c r="B9" s="14" t="s">
        <v>192</v>
      </c>
      <c r="C9" s="23">
        <v>10182</v>
      </c>
      <c r="D9" s="23">
        <v>40824</v>
      </c>
    </row>
    <row r="10" spans="2:4" x14ac:dyDescent="0.35">
      <c r="B10" s="14" t="s">
        <v>120</v>
      </c>
      <c r="C10" s="23">
        <v>10514</v>
      </c>
      <c r="D10" s="23">
        <v>50694</v>
      </c>
    </row>
    <row r="11" spans="2:4" x14ac:dyDescent="0.35">
      <c r="B11" s="14" t="s">
        <v>124</v>
      </c>
      <c r="C11" s="23">
        <v>13699</v>
      </c>
      <c r="D11" s="23">
        <v>49058</v>
      </c>
    </row>
    <row r="12" spans="2:4" x14ac:dyDescent="0.35">
      <c r="B12" s="14" t="s">
        <v>206</v>
      </c>
      <c r="C12" s="23">
        <v>102</v>
      </c>
      <c r="D12" s="23">
        <v>367</v>
      </c>
    </row>
    <row r="13" spans="2:4" x14ac:dyDescent="0.35">
      <c r="B13" s="14" t="s">
        <v>106</v>
      </c>
      <c r="C13" s="23">
        <v>12307</v>
      </c>
      <c r="D13" s="23">
        <v>29766</v>
      </c>
    </row>
    <row r="14" spans="2:4" x14ac:dyDescent="0.35">
      <c r="B14" s="14" t="s">
        <v>174</v>
      </c>
      <c r="C14" s="23">
        <v>25887</v>
      </c>
      <c r="D14" s="23">
        <v>52019</v>
      </c>
    </row>
    <row r="15" spans="2:4" x14ac:dyDescent="0.35">
      <c r="B15" s="14" t="s">
        <v>110</v>
      </c>
      <c r="C15" s="23">
        <v>17330</v>
      </c>
      <c r="D15" s="23">
        <v>52336</v>
      </c>
    </row>
    <row r="16" spans="2:4" x14ac:dyDescent="0.35">
      <c r="B16" s="14" t="s">
        <v>180</v>
      </c>
      <c r="C16" s="23">
        <v>92665</v>
      </c>
      <c r="D16" s="23">
        <v>247082</v>
      </c>
    </row>
    <row r="17" spans="2:4" x14ac:dyDescent="0.35">
      <c r="B17" s="14" t="s">
        <v>183</v>
      </c>
      <c r="C17" s="23">
        <v>25668</v>
      </c>
      <c r="D17" s="23">
        <v>79852</v>
      </c>
    </row>
    <row r="18" spans="2:4" x14ac:dyDescent="0.35">
      <c r="B18" s="14" t="s">
        <v>159</v>
      </c>
      <c r="C18" s="23">
        <v>12724</v>
      </c>
      <c r="D18" s="23">
        <v>32286</v>
      </c>
    </row>
    <row r="19" spans="2:4" x14ac:dyDescent="0.35">
      <c r="B19" s="14" t="s">
        <v>141</v>
      </c>
      <c r="C19" s="23">
        <v>13063</v>
      </c>
      <c r="D19" s="23">
        <v>35115</v>
      </c>
    </row>
    <row r="20" spans="2:4" x14ac:dyDescent="0.35">
      <c r="B20" s="14" t="s">
        <v>133</v>
      </c>
      <c r="C20" s="23">
        <v>168167</v>
      </c>
      <c r="D20" s="23">
        <v>479659</v>
      </c>
    </row>
    <row r="21" spans="2:4" x14ac:dyDescent="0.35">
      <c r="B21" s="14" t="s">
        <v>201</v>
      </c>
      <c r="C21" s="23">
        <v>39550</v>
      </c>
      <c r="D21" s="23">
        <v>111534</v>
      </c>
    </row>
    <row r="22" spans="2:4" x14ac:dyDescent="0.35">
      <c r="B22" s="14" t="s">
        <v>299</v>
      </c>
      <c r="C22" s="15">
        <v>504501</v>
      </c>
      <c r="D22" s="15">
        <v>1438977</v>
      </c>
    </row>
    <row r="32" spans="2:4" x14ac:dyDescent="0.35">
      <c r="B32" s="30" t="s">
        <v>71</v>
      </c>
      <c r="C32" s="31" t="s">
        <v>315</v>
      </c>
      <c r="D32" s="32" t="s">
        <v>314</v>
      </c>
    </row>
    <row r="33" spans="2:4" hidden="1" x14ac:dyDescent="0.35">
      <c r="B33" s="28" t="s">
        <v>116</v>
      </c>
      <c r="C33" s="24">
        <v>10460</v>
      </c>
      <c r="D33" s="29">
        <v>35851</v>
      </c>
    </row>
    <row r="34" spans="2:4" hidden="1" x14ac:dyDescent="0.35">
      <c r="B34" s="28" t="s">
        <v>164</v>
      </c>
      <c r="C34" s="24">
        <v>8992</v>
      </c>
      <c r="D34" s="29">
        <v>24308</v>
      </c>
    </row>
    <row r="35" spans="2:4" hidden="1" x14ac:dyDescent="0.35">
      <c r="B35" s="28" t="s">
        <v>146</v>
      </c>
      <c r="C35" s="24">
        <v>9435</v>
      </c>
      <c r="D35" s="29">
        <v>25537</v>
      </c>
    </row>
    <row r="36" spans="2:4" hidden="1" x14ac:dyDescent="0.35">
      <c r="B36" s="28" t="s">
        <v>128</v>
      </c>
      <c r="C36" s="24">
        <v>6649</v>
      </c>
      <c r="D36" s="29">
        <v>16689</v>
      </c>
    </row>
    <row r="37" spans="2:4" hidden="1" x14ac:dyDescent="0.35">
      <c r="B37" s="28" t="s">
        <v>133</v>
      </c>
      <c r="C37" s="24">
        <v>168167</v>
      </c>
      <c r="D37" s="29">
        <v>479659</v>
      </c>
    </row>
    <row r="38" spans="2:4" x14ac:dyDescent="0.35">
      <c r="B38" s="28" t="s">
        <v>180</v>
      </c>
      <c r="C38" s="24">
        <v>92665</v>
      </c>
      <c r="D38" s="29">
        <v>247082</v>
      </c>
    </row>
    <row r="39" spans="2:4" hidden="1" x14ac:dyDescent="0.35">
      <c r="B39" s="28" t="s">
        <v>192</v>
      </c>
      <c r="C39" s="24">
        <v>10182</v>
      </c>
      <c r="D39" s="29">
        <v>40824</v>
      </c>
    </row>
    <row r="40" spans="2:4" hidden="1" x14ac:dyDescent="0.35">
      <c r="B40" s="28" t="s">
        <v>120</v>
      </c>
      <c r="C40" s="24">
        <v>10514</v>
      </c>
      <c r="D40" s="29">
        <v>50694</v>
      </c>
    </row>
    <row r="41" spans="2:4" x14ac:dyDescent="0.35">
      <c r="B41" s="28" t="s">
        <v>201</v>
      </c>
      <c r="C41" s="24">
        <v>39550</v>
      </c>
      <c r="D41" s="29">
        <v>111534</v>
      </c>
    </row>
    <row r="42" spans="2:4" hidden="1" x14ac:dyDescent="0.35">
      <c r="B42" s="28" t="s">
        <v>206</v>
      </c>
      <c r="C42" s="24">
        <v>102</v>
      </c>
      <c r="D42" s="29">
        <v>367</v>
      </c>
    </row>
    <row r="43" spans="2:4" hidden="1" x14ac:dyDescent="0.35">
      <c r="B43" s="28" t="s">
        <v>106</v>
      </c>
      <c r="C43" s="24">
        <v>12307</v>
      </c>
      <c r="D43" s="29">
        <v>29766</v>
      </c>
    </row>
    <row r="44" spans="2:4" x14ac:dyDescent="0.35">
      <c r="B44" s="28" t="s">
        <v>174</v>
      </c>
      <c r="C44" s="24">
        <v>25887</v>
      </c>
      <c r="D44" s="29">
        <v>52019</v>
      </c>
    </row>
    <row r="45" spans="2:4" x14ac:dyDescent="0.35">
      <c r="B45" s="28" t="s">
        <v>183</v>
      </c>
      <c r="C45" s="24">
        <v>25668</v>
      </c>
      <c r="D45" s="29">
        <v>79852</v>
      </c>
    </row>
    <row r="46" spans="2:4" x14ac:dyDescent="0.35">
      <c r="B46" s="28" t="s">
        <v>110</v>
      </c>
      <c r="C46" s="24">
        <v>17330</v>
      </c>
      <c r="D46" s="29">
        <v>52336</v>
      </c>
    </row>
    <row r="47" spans="2:4" x14ac:dyDescent="0.35">
      <c r="B47" s="28" t="s">
        <v>168</v>
      </c>
      <c r="C47" s="24">
        <v>14380</v>
      </c>
      <c r="D47" s="29">
        <v>47153</v>
      </c>
    </row>
    <row r="48" spans="2:4" hidden="1" x14ac:dyDescent="0.35">
      <c r="B48" s="28" t="s">
        <v>159</v>
      </c>
      <c r="C48" s="24">
        <v>12724</v>
      </c>
      <c r="D48" s="29">
        <v>32286</v>
      </c>
    </row>
    <row r="49" spans="2:4" x14ac:dyDescent="0.35">
      <c r="B49" s="28" t="s">
        <v>124</v>
      </c>
      <c r="C49" s="24">
        <v>13699</v>
      </c>
      <c r="D49" s="29">
        <v>49058</v>
      </c>
    </row>
    <row r="50" spans="2:4" x14ac:dyDescent="0.35">
      <c r="B50" s="28" t="s">
        <v>141</v>
      </c>
      <c r="C50" s="24">
        <v>13063</v>
      </c>
      <c r="D50" s="29">
        <v>35115</v>
      </c>
    </row>
    <row r="51" spans="2:4" x14ac:dyDescent="0.35">
      <c r="B51" s="33" t="s">
        <v>152</v>
      </c>
      <c r="C51" s="34">
        <v>12727</v>
      </c>
      <c r="D51" s="35">
        <v>28847</v>
      </c>
    </row>
  </sheetData>
  <pageMargins left="0.7" right="0.7" top="0.75" bottom="0.75" header="0.3" footer="0.3"/>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6CB0-4BA8-47A1-B171-B07641A99DFA}">
  <dimension ref="A1:B10"/>
  <sheetViews>
    <sheetView workbookViewId="0">
      <selection activeCell="O8" sqref="O8"/>
    </sheetView>
  </sheetViews>
  <sheetFormatPr defaultRowHeight="14.5" x14ac:dyDescent="0.35"/>
  <cols>
    <col min="1" max="1" width="20.1796875" bestFit="1" customWidth="1"/>
    <col min="2" max="2" width="26.1796875" bestFit="1" customWidth="1"/>
  </cols>
  <sheetData>
    <row r="1" spans="1:2" x14ac:dyDescent="0.35">
      <c r="A1" s="11" t="s">
        <v>71</v>
      </c>
      <c r="B1" t="s">
        <v>301</v>
      </c>
    </row>
    <row r="3" spans="1:2" x14ac:dyDescent="0.35">
      <c r="A3" s="11" t="s">
        <v>300</v>
      </c>
      <c r="B3" t="s">
        <v>316</v>
      </c>
    </row>
    <row r="4" spans="1:2" x14ac:dyDescent="0.35">
      <c r="A4" s="16" t="s">
        <v>317</v>
      </c>
      <c r="B4">
        <v>56</v>
      </c>
    </row>
    <row r="5" spans="1:2" x14ac:dyDescent="0.35">
      <c r="A5" s="16" t="s">
        <v>318</v>
      </c>
      <c r="B5">
        <v>16</v>
      </c>
    </row>
    <row r="6" spans="1:2" x14ac:dyDescent="0.35">
      <c r="A6" s="16" t="s">
        <v>319</v>
      </c>
      <c r="B6">
        <v>12</v>
      </c>
    </row>
    <row r="7" spans="1:2" x14ac:dyDescent="0.35">
      <c r="A7" s="16" t="s">
        <v>320</v>
      </c>
      <c r="B7">
        <v>6</v>
      </c>
    </row>
    <row r="8" spans="1:2" x14ac:dyDescent="0.35">
      <c r="A8" s="16" t="s">
        <v>321</v>
      </c>
      <c r="B8">
        <v>1</v>
      </c>
    </row>
    <row r="9" spans="1:2" x14ac:dyDescent="0.35">
      <c r="A9" s="16" t="s">
        <v>322</v>
      </c>
      <c r="B9">
        <v>1</v>
      </c>
    </row>
    <row r="10" spans="1:2" x14ac:dyDescent="0.35">
      <c r="A10" s="16" t="s">
        <v>299</v>
      </c>
      <c r="B10">
        <v>92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54E61-B335-4E83-9916-A8743D9E6E47}">
  <dimension ref="A1:G93"/>
  <sheetViews>
    <sheetView workbookViewId="0">
      <selection activeCell="Q11" sqref="Q11"/>
    </sheetView>
  </sheetViews>
  <sheetFormatPr defaultRowHeight="14.5" x14ac:dyDescent="0.35"/>
  <cols>
    <col min="1" max="1" width="19.90625" bestFit="1" customWidth="1"/>
    <col min="4" max="4" width="18.08984375" bestFit="1" customWidth="1"/>
    <col min="5" max="5" width="22" bestFit="1" customWidth="1"/>
    <col min="7" max="7" width="27" customWidth="1"/>
  </cols>
  <sheetData>
    <row r="1" spans="1:7" x14ac:dyDescent="0.35">
      <c r="A1" t="s">
        <v>99</v>
      </c>
      <c r="D1" t="s">
        <v>92</v>
      </c>
      <c r="E1" t="s">
        <v>93</v>
      </c>
      <c r="G1" t="s">
        <v>378</v>
      </c>
    </row>
    <row r="2" spans="1:7" x14ac:dyDescent="0.35">
      <c r="A2">
        <v>0.70067511711215213</v>
      </c>
      <c r="D2">
        <v>4.1434262948207172E-2</v>
      </c>
      <c r="E2">
        <v>0.82841915241124386</v>
      </c>
      <c r="G2" s="9">
        <f>CORREL(D2:D93,E2:E93)</f>
        <v>-0.58930488755802901</v>
      </c>
    </row>
    <row r="3" spans="1:7" x14ac:dyDescent="0.35">
      <c r="A3">
        <v>0.68544713497962118</v>
      </c>
      <c r="D3">
        <v>4.9099360836722838E-2</v>
      </c>
      <c r="E3">
        <v>0.82799020129939294</v>
      </c>
    </row>
    <row r="4" spans="1:7" x14ac:dyDescent="0.35">
      <c r="A4">
        <v>0.61470588235294121</v>
      </c>
      <c r="D4">
        <v>6.9580218516388723E-2</v>
      </c>
      <c r="E4">
        <v>0.80193652501344814</v>
      </c>
    </row>
    <row r="5" spans="1:7" x14ac:dyDescent="0.35">
      <c r="A5">
        <v>0.75426233234826101</v>
      </c>
      <c r="D5">
        <v>5.8227848101265821E-2</v>
      </c>
      <c r="E5">
        <v>0.83309239059009066</v>
      </c>
    </row>
    <row r="6" spans="1:7" x14ac:dyDescent="0.35">
      <c r="A6">
        <v>0.76149769191314753</v>
      </c>
      <c r="D6">
        <v>1.8350062735257213E-2</v>
      </c>
      <c r="E6">
        <v>0.86058065517776738</v>
      </c>
    </row>
    <row r="7" spans="1:7" x14ac:dyDescent="0.35">
      <c r="A7">
        <v>0.73901080904028826</v>
      </c>
      <c r="D7">
        <v>2.4691358024691357E-2</v>
      </c>
      <c r="E7">
        <v>0.85554400831401389</v>
      </c>
    </row>
    <row r="8" spans="1:7" x14ac:dyDescent="0.35">
      <c r="A8">
        <v>0.71778321833963943</v>
      </c>
      <c r="D8">
        <v>4.8252279635258362E-2</v>
      </c>
      <c r="E8">
        <v>0.81940700808625333</v>
      </c>
    </row>
    <row r="9" spans="1:7" x14ac:dyDescent="0.35">
      <c r="A9">
        <v>0.69728183118741061</v>
      </c>
      <c r="D9">
        <v>4.1287188828172436E-2</v>
      </c>
      <c r="E9">
        <v>0.83489403647116811</v>
      </c>
    </row>
    <row r="10" spans="1:7" x14ac:dyDescent="0.35">
      <c r="A10">
        <v>0.78851744186046513</v>
      </c>
      <c r="D10">
        <v>3.1816830211121021E-2</v>
      </c>
      <c r="E10">
        <v>0.86287228211218714</v>
      </c>
    </row>
    <row r="11" spans="1:7" x14ac:dyDescent="0.35">
      <c r="A11">
        <v>0.69411589674923757</v>
      </c>
      <c r="D11">
        <v>2.6013143483023003E-2</v>
      </c>
      <c r="E11">
        <v>0.84433362667448908</v>
      </c>
    </row>
    <row r="12" spans="1:7" x14ac:dyDescent="0.35">
      <c r="A12">
        <v>0.79802078179119251</v>
      </c>
      <c r="D12">
        <v>1.4015843997562462E-2</v>
      </c>
      <c r="E12">
        <v>0.86873010646471294</v>
      </c>
    </row>
    <row r="13" spans="1:7" x14ac:dyDescent="0.35">
      <c r="A13">
        <v>0.82642214694545035</v>
      </c>
      <c r="D13">
        <v>4.0450121654501216E-2</v>
      </c>
      <c r="E13">
        <v>0.89484334203655358</v>
      </c>
    </row>
    <row r="14" spans="1:7" x14ac:dyDescent="0.35">
      <c r="A14">
        <v>0.77093400207963791</v>
      </c>
      <c r="D14">
        <v>3.474415666456096E-2</v>
      </c>
      <c r="E14">
        <v>0.83485726251134218</v>
      </c>
    </row>
    <row r="15" spans="1:7" x14ac:dyDescent="0.35">
      <c r="A15">
        <v>0.7840365454480055</v>
      </c>
      <c r="D15">
        <v>4.0179751519957708E-2</v>
      </c>
      <c r="E15">
        <v>0.85466116959532479</v>
      </c>
    </row>
    <row r="16" spans="1:7" x14ac:dyDescent="0.35">
      <c r="A16">
        <v>0.68367443176459497</v>
      </c>
      <c r="D16">
        <v>2.0083463745435577E-2</v>
      </c>
      <c r="E16">
        <v>0.82383683875079672</v>
      </c>
    </row>
    <row r="17" spans="1:5" x14ac:dyDescent="0.35">
      <c r="A17">
        <v>0.80588947907930297</v>
      </c>
      <c r="D17">
        <v>2.764797507788162E-2</v>
      </c>
      <c r="E17">
        <v>0.87485380116959066</v>
      </c>
    </row>
    <row r="18" spans="1:5" x14ac:dyDescent="0.35">
      <c r="A18">
        <v>0.75723948679681297</v>
      </c>
      <c r="D18">
        <v>3.1084154662623199E-2</v>
      </c>
      <c r="E18">
        <v>0.86495681758701914</v>
      </c>
    </row>
    <row r="19" spans="1:5" x14ac:dyDescent="0.35">
      <c r="A19">
        <v>0.7781772424950566</v>
      </c>
      <c r="D19">
        <v>1.4450867052023121E-2</v>
      </c>
      <c r="E19">
        <v>0.83937512517524537</v>
      </c>
    </row>
    <row r="20" spans="1:5" x14ac:dyDescent="0.35">
      <c r="A20">
        <v>0.63411860276198218</v>
      </c>
      <c r="D20">
        <v>3.8947368421052633E-2</v>
      </c>
      <c r="E20">
        <v>0.73312025569316819</v>
      </c>
    </row>
    <row r="21" spans="1:5" x14ac:dyDescent="0.35">
      <c r="A21">
        <v>0.56538648517258139</v>
      </c>
      <c r="D21">
        <v>0.37675606641123882</v>
      </c>
      <c r="E21">
        <v>0.71331432331651679</v>
      </c>
    </row>
    <row r="22" spans="1:5" x14ac:dyDescent="0.35">
      <c r="A22">
        <v>0.69071320082607601</v>
      </c>
      <c r="D22">
        <v>3.8237022526934381E-2</v>
      </c>
      <c r="E22">
        <v>0.81493714769268566</v>
      </c>
    </row>
    <row r="23" spans="1:5" x14ac:dyDescent="0.35">
      <c r="A23">
        <v>0.66890589725235394</v>
      </c>
      <c r="D23">
        <v>0.10161623834240621</v>
      </c>
      <c r="E23">
        <v>0.8029829341746737</v>
      </c>
    </row>
    <row r="24" spans="1:5" x14ac:dyDescent="0.35">
      <c r="A24">
        <v>0.72651194718405832</v>
      </c>
      <c r="D24">
        <v>4.7864154948262141E-2</v>
      </c>
      <c r="E24">
        <v>0.82850535393806535</v>
      </c>
    </row>
    <row r="25" spans="1:5" x14ac:dyDescent="0.35">
      <c r="A25">
        <v>0.66385581649371928</v>
      </c>
      <c r="D25">
        <v>3.2287138161382671E-2</v>
      </c>
      <c r="E25">
        <v>0.7964355908909545</v>
      </c>
    </row>
    <row r="26" spans="1:5" x14ac:dyDescent="0.35">
      <c r="A26">
        <v>0.68890209805605085</v>
      </c>
      <c r="D26">
        <v>6.0276266220175803E-2</v>
      </c>
      <c r="E26">
        <v>0.81819331272829443</v>
      </c>
    </row>
    <row r="27" spans="1:5" x14ac:dyDescent="0.35">
      <c r="A27">
        <v>0.74953626103475246</v>
      </c>
      <c r="D27">
        <v>2.5711113009310668E-2</v>
      </c>
      <c r="E27">
        <v>0.86012131432923511</v>
      </c>
    </row>
    <row r="28" spans="1:5" x14ac:dyDescent="0.35">
      <c r="A28">
        <v>0.76279103791330516</v>
      </c>
      <c r="D28">
        <v>3.0757468830863326E-2</v>
      </c>
      <c r="E28">
        <v>0.85885458228469702</v>
      </c>
    </row>
    <row r="29" spans="1:5" x14ac:dyDescent="0.35">
      <c r="A29">
        <v>0.65428512139448014</v>
      </c>
      <c r="D29">
        <v>2.6644915715062535E-2</v>
      </c>
      <c r="E29">
        <v>0.81889763779527558</v>
      </c>
    </row>
    <row r="30" spans="1:5" x14ac:dyDescent="0.35">
      <c r="A30">
        <v>0.71481893265565444</v>
      </c>
      <c r="D30">
        <v>7.2445019404915913E-3</v>
      </c>
      <c r="E30">
        <v>0.8486558588138724</v>
      </c>
    </row>
    <row r="31" spans="1:5" x14ac:dyDescent="0.35">
      <c r="A31">
        <v>0.72531639336189491</v>
      </c>
      <c r="D31">
        <v>2.8751623075496197E-2</v>
      </c>
      <c r="E31">
        <v>0.85035499726925179</v>
      </c>
    </row>
    <row r="32" spans="1:5" x14ac:dyDescent="0.35">
      <c r="A32">
        <v>0.66469409182017758</v>
      </c>
      <c r="D32">
        <v>1.9633086578693275E-2</v>
      </c>
      <c r="E32">
        <v>0.84106045081967218</v>
      </c>
    </row>
    <row r="33" spans="1:5" x14ac:dyDescent="0.35">
      <c r="A33">
        <v>0.68746444149440544</v>
      </c>
      <c r="D33">
        <v>0</v>
      </c>
      <c r="E33">
        <v>0.76976093043290972</v>
      </c>
    </row>
    <row r="34" spans="1:5" x14ac:dyDescent="0.35">
      <c r="A34">
        <v>0.65004956804985126</v>
      </c>
      <c r="D34">
        <v>8.6229652441706994E-2</v>
      </c>
      <c r="E34">
        <v>0.7458081824279007</v>
      </c>
    </row>
    <row r="35" spans="1:5" x14ac:dyDescent="0.35">
      <c r="A35">
        <v>0.77944800394282898</v>
      </c>
      <c r="D35">
        <v>3.6065573770491806E-2</v>
      </c>
      <c r="E35">
        <v>0.87724898432965759</v>
      </c>
    </row>
    <row r="36" spans="1:5" x14ac:dyDescent="0.35">
      <c r="A36">
        <v>0.72346861608268209</v>
      </c>
      <c r="D36">
        <v>4.8743566454738117E-2</v>
      </c>
      <c r="E36">
        <v>0.84430769230769231</v>
      </c>
    </row>
    <row r="37" spans="1:5" x14ac:dyDescent="0.35">
      <c r="A37">
        <v>0.64103321033210336</v>
      </c>
      <c r="D37">
        <v>5.667001003009027E-2</v>
      </c>
      <c r="E37">
        <v>0.7663461538461539</v>
      </c>
    </row>
    <row r="38" spans="1:5" x14ac:dyDescent="0.35">
      <c r="A38">
        <v>0.68302346845473938</v>
      </c>
      <c r="D38">
        <v>0.18</v>
      </c>
      <c r="E38">
        <v>0.77781969068276124</v>
      </c>
    </row>
    <row r="39" spans="1:5" x14ac:dyDescent="0.35">
      <c r="A39">
        <v>0.83771106941838647</v>
      </c>
      <c r="D39">
        <v>0</v>
      </c>
      <c r="E39">
        <v>0.94013303769401335</v>
      </c>
    </row>
    <row r="40" spans="1:5" x14ac:dyDescent="0.35">
      <c r="A40">
        <v>0.69590085795996182</v>
      </c>
      <c r="D40">
        <v>1.1437908496732025E-2</v>
      </c>
      <c r="E40">
        <v>0.81860075408462507</v>
      </c>
    </row>
    <row r="41" spans="1:5" x14ac:dyDescent="0.35">
      <c r="A41">
        <v>0.58609016771811051</v>
      </c>
      <c r="D41">
        <v>0.14346504559270518</v>
      </c>
      <c r="E41">
        <v>0.73654720372132365</v>
      </c>
    </row>
    <row r="42" spans="1:5" x14ac:dyDescent="0.35">
      <c r="A42">
        <v>0.65272513396941578</v>
      </c>
      <c r="D42">
        <v>9.9772209567198178E-2</v>
      </c>
      <c r="E42">
        <v>0.81213202497769843</v>
      </c>
    </row>
    <row r="43" spans="1:5" x14ac:dyDescent="0.35">
      <c r="A43">
        <v>0.71760168813213998</v>
      </c>
      <c r="D43">
        <v>8.7605633802816898E-2</v>
      </c>
      <c r="E43">
        <v>0.83866481223922118</v>
      </c>
    </row>
    <row r="44" spans="1:5" x14ac:dyDescent="0.35">
      <c r="A44">
        <v>0.672671285604311</v>
      </c>
      <c r="D44">
        <v>0.10091027308192457</v>
      </c>
      <c r="E44">
        <v>0.78036881646989953</v>
      </c>
    </row>
    <row r="45" spans="1:5" x14ac:dyDescent="0.35">
      <c r="A45">
        <v>0.72184524148942242</v>
      </c>
      <c r="D45">
        <v>7.2210526315789475E-2</v>
      </c>
      <c r="E45">
        <v>0.83398656215005595</v>
      </c>
    </row>
    <row r="46" spans="1:5" x14ac:dyDescent="0.35">
      <c r="A46">
        <v>0.6649568664024248</v>
      </c>
      <c r="D46">
        <v>2.6570915619389589E-2</v>
      </c>
      <c r="E46">
        <v>0.82729278285534191</v>
      </c>
    </row>
    <row r="47" spans="1:5" x14ac:dyDescent="0.35">
      <c r="A47">
        <v>0.71712409496548235</v>
      </c>
      <c r="D47">
        <v>0.10302708443972385</v>
      </c>
      <c r="E47">
        <v>0.84198991891299579</v>
      </c>
    </row>
    <row r="48" spans="1:5" x14ac:dyDescent="0.35">
      <c r="A48">
        <v>0.62291501191421761</v>
      </c>
      <c r="D48">
        <v>8.3545918367346941E-2</v>
      </c>
      <c r="E48">
        <v>0.75895938412529862</v>
      </c>
    </row>
    <row r="49" spans="1:5" x14ac:dyDescent="0.35">
      <c r="A49">
        <v>0.63648363252375928</v>
      </c>
      <c r="D49">
        <v>0.172782874617737</v>
      </c>
      <c r="E49">
        <v>0.79259513198491605</v>
      </c>
    </row>
    <row r="50" spans="1:5" x14ac:dyDescent="0.35">
      <c r="A50">
        <v>0.73751339217386869</v>
      </c>
      <c r="D50">
        <v>4.1499713795077275E-2</v>
      </c>
      <c r="E50">
        <v>0.82733345155760474</v>
      </c>
    </row>
    <row r="51" spans="1:5" x14ac:dyDescent="0.35">
      <c r="A51">
        <v>0.62977221687520046</v>
      </c>
      <c r="D51">
        <v>0.10309278350515463</v>
      </c>
      <c r="E51">
        <v>0.80955188679245282</v>
      </c>
    </row>
    <row r="52" spans="1:5" x14ac:dyDescent="0.35">
      <c r="A52">
        <v>0.82597402597402603</v>
      </c>
      <c r="D52">
        <v>4.9318364073777064E-2</v>
      </c>
      <c r="E52">
        <v>0.86608674344523406</v>
      </c>
    </row>
    <row r="53" spans="1:5" x14ac:dyDescent="0.35">
      <c r="A53">
        <v>0.7719457013574661</v>
      </c>
      <c r="D53">
        <v>1.8240343347639486E-2</v>
      </c>
      <c r="E53">
        <v>0.85658713692946054</v>
      </c>
    </row>
    <row r="54" spans="1:5" x14ac:dyDescent="0.35">
      <c r="A54">
        <v>0.67292408879144971</v>
      </c>
      <c r="D54">
        <v>4.9180327868852463E-3</v>
      </c>
      <c r="E54">
        <v>0.78242247729998282</v>
      </c>
    </row>
    <row r="55" spans="1:5" x14ac:dyDescent="0.35">
      <c r="A55">
        <v>0.52138658017433614</v>
      </c>
      <c r="D55">
        <v>0</v>
      </c>
      <c r="E55">
        <v>0.73961806608063052</v>
      </c>
    </row>
    <row r="56" spans="1:5" x14ac:dyDescent="0.35">
      <c r="A56">
        <v>0.72751677852348995</v>
      </c>
      <c r="D56">
        <v>3.9353769676884837E-2</v>
      </c>
      <c r="E56">
        <v>0.82464391292663264</v>
      </c>
    </row>
    <row r="57" spans="1:5" x14ac:dyDescent="0.35">
      <c r="A57">
        <v>0.50445261618891502</v>
      </c>
      <c r="D57">
        <v>0.14924181963288108</v>
      </c>
      <c r="E57">
        <v>0.67331923890063428</v>
      </c>
    </row>
    <row r="58" spans="1:5" x14ac:dyDescent="0.35">
      <c r="A58">
        <v>0.69328355042640755</v>
      </c>
      <c r="D58">
        <v>1.7498713329902212E-2</v>
      </c>
      <c r="E58">
        <v>0.79877754543992274</v>
      </c>
    </row>
    <row r="59" spans="1:5" x14ac:dyDescent="0.35">
      <c r="A59">
        <v>0.69692502106149956</v>
      </c>
      <c r="D59">
        <v>2.0033741037536905E-2</v>
      </c>
      <c r="E59">
        <v>0.84351109883024777</v>
      </c>
    </row>
    <row r="60" spans="1:5" x14ac:dyDescent="0.35">
      <c r="A60">
        <v>0.6091035441278666</v>
      </c>
      <c r="D60">
        <v>2.5090789039286892E-2</v>
      </c>
      <c r="E60">
        <v>0.77337533156498672</v>
      </c>
    </row>
    <row r="61" spans="1:5" x14ac:dyDescent="0.35">
      <c r="A61">
        <v>0.64066648964418482</v>
      </c>
      <c r="D61">
        <v>0.12692793931731985</v>
      </c>
      <c r="E61">
        <v>0.77722251446607049</v>
      </c>
    </row>
    <row r="62" spans="1:5" x14ac:dyDescent="0.35">
      <c r="A62">
        <v>0.69968543289725116</v>
      </c>
      <c r="D62">
        <v>3.2149923623427619E-2</v>
      </c>
      <c r="E62">
        <v>0.82916539881817741</v>
      </c>
    </row>
    <row r="63" spans="1:5" x14ac:dyDescent="0.35">
      <c r="A63">
        <v>0.76544038668098824</v>
      </c>
      <c r="D63">
        <v>5.0529747351263241E-2</v>
      </c>
      <c r="E63">
        <v>0.82648125755743651</v>
      </c>
    </row>
    <row r="64" spans="1:5" x14ac:dyDescent="0.35">
      <c r="A64">
        <v>0.80458071666050979</v>
      </c>
      <c r="D64">
        <v>0</v>
      </c>
      <c r="E64">
        <v>0.85257189145403001</v>
      </c>
    </row>
    <row r="65" spans="1:5" x14ac:dyDescent="0.35">
      <c r="A65">
        <v>0.76684372379088617</v>
      </c>
      <c r="D65">
        <v>3.9010466222645097E-2</v>
      </c>
      <c r="E65">
        <v>0.83561643835616439</v>
      </c>
    </row>
    <row r="66" spans="1:5" x14ac:dyDescent="0.35">
      <c r="A66">
        <v>0.74423569598633643</v>
      </c>
      <c r="D66">
        <v>2.9504741833508957E-2</v>
      </c>
      <c r="E66">
        <v>0.83886010362694297</v>
      </c>
    </row>
    <row r="67" spans="1:5" x14ac:dyDescent="0.35">
      <c r="A67">
        <v>0.79304255694861381</v>
      </c>
      <c r="D67">
        <v>3.5639412997903561E-2</v>
      </c>
      <c r="E67">
        <v>0.84963589844518794</v>
      </c>
    </row>
    <row r="68" spans="1:5" x14ac:dyDescent="0.35">
      <c r="A68">
        <v>0.6686831084225221</v>
      </c>
      <c r="D68">
        <v>0.12081952395299789</v>
      </c>
      <c r="E68">
        <v>0.80033571128829206</v>
      </c>
    </row>
    <row r="69" spans="1:5" x14ac:dyDescent="0.35">
      <c r="A69">
        <v>0.7457278481012658</v>
      </c>
      <c r="D69">
        <v>0.11344019728729964</v>
      </c>
      <c r="E69">
        <v>0.85185887708649466</v>
      </c>
    </row>
    <row r="70" spans="1:5" x14ac:dyDescent="0.35">
      <c r="A70">
        <v>0.71542594013814276</v>
      </c>
      <c r="D70">
        <v>0.15448968209704406</v>
      </c>
      <c r="E70">
        <v>0.81712415924377391</v>
      </c>
    </row>
    <row r="71" spans="1:5" x14ac:dyDescent="0.35">
      <c r="A71">
        <v>0.59815546772068506</v>
      </c>
      <c r="D71">
        <v>1.2345679012345678E-2</v>
      </c>
      <c r="E71">
        <v>0.77868338557993733</v>
      </c>
    </row>
    <row r="72" spans="1:5" x14ac:dyDescent="0.35">
      <c r="A72">
        <v>0.63544865233708636</v>
      </c>
      <c r="D72">
        <v>0.12533692722371967</v>
      </c>
      <c r="E72">
        <v>0.78310502283105021</v>
      </c>
    </row>
    <row r="73" spans="1:5" x14ac:dyDescent="0.35">
      <c r="A73">
        <v>0.62325853007424714</v>
      </c>
      <c r="D73">
        <v>0.12438139227977565</v>
      </c>
      <c r="E73">
        <v>0.76163043478260872</v>
      </c>
    </row>
    <row r="74" spans="1:5" x14ac:dyDescent="0.35">
      <c r="A74">
        <v>0.76676217765042975</v>
      </c>
      <c r="D74">
        <v>1.2508229098090849E-2</v>
      </c>
      <c r="E74">
        <v>0.90710253998118529</v>
      </c>
    </row>
    <row r="75" spans="1:5" x14ac:dyDescent="0.35">
      <c r="A75">
        <v>0.68302346845473938</v>
      </c>
      <c r="D75">
        <v>0.18</v>
      </c>
      <c r="E75">
        <v>0.77781969068276124</v>
      </c>
    </row>
    <row r="76" spans="1:5" x14ac:dyDescent="0.35">
      <c r="A76">
        <v>0.78140703517587939</v>
      </c>
      <c r="D76">
        <v>1.1885895404120444E-2</v>
      </c>
      <c r="E76">
        <v>0.84825556956704495</v>
      </c>
    </row>
    <row r="77" spans="1:5" x14ac:dyDescent="0.35">
      <c r="A77">
        <v>0.70796074154852784</v>
      </c>
      <c r="D77">
        <v>6.1383928571428568E-2</v>
      </c>
      <c r="E77">
        <v>0.83929051330287552</v>
      </c>
    </row>
    <row r="78" spans="1:5" x14ac:dyDescent="0.35">
      <c r="A78">
        <v>0.82303921568627447</v>
      </c>
      <c r="D78">
        <v>0</v>
      </c>
      <c r="E78">
        <v>0.89457831325301207</v>
      </c>
    </row>
    <row r="79" spans="1:5" x14ac:dyDescent="0.35">
      <c r="A79">
        <v>0.77572601010101006</v>
      </c>
      <c r="D79">
        <v>1.7164179104477612E-2</v>
      </c>
      <c r="E79">
        <v>0.8594174054640854</v>
      </c>
    </row>
    <row r="80" spans="1:5" x14ac:dyDescent="0.35">
      <c r="A80">
        <v>0.6391773569537772</v>
      </c>
      <c r="D80">
        <v>0.16017009213323885</v>
      </c>
      <c r="E80">
        <v>0.69595645412130636</v>
      </c>
    </row>
    <row r="81" spans="1:5" x14ac:dyDescent="0.35">
      <c r="A81">
        <v>0.77521890368237978</v>
      </c>
      <c r="D81">
        <v>3.8552787663107949E-2</v>
      </c>
      <c r="E81">
        <v>0.87070399113082042</v>
      </c>
    </row>
    <row r="82" spans="1:5" x14ac:dyDescent="0.35">
      <c r="A82">
        <v>0.74892189746046955</v>
      </c>
      <c r="D82">
        <v>0</v>
      </c>
      <c r="E82">
        <v>0.85097813578826242</v>
      </c>
    </row>
    <row r="83" spans="1:5" x14ac:dyDescent="0.35">
      <c r="A83">
        <v>0.72009029345372455</v>
      </c>
      <c r="D83">
        <v>6.5972222222222224E-2</v>
      </c>
      <c r="E83">
        <v>0.85987482614742694</v>
      </c>
    </row>
    <row r="84" spans="1:5" x14ac:dyDescent="0.35">
      <c r="A84">
        <v>0.64741035856573703</v>
      </c>
      <c r="D84">
        <v>0.20446818844099077</v>
      </c>
      <c r="E84">
        <v>0.7672323171647395</v>
      </c>
    </row>
    <row r="85" spans="1:5" x14ac:dyDescent="0.35">
      <c r="A85">
        <v>0.84719789842381787</v>
      </c>
      <c r="D85">
        <v>5.3264604810996562E-2</v>
      </c>
      <c r="E85">
        <v>0.89943342776203961</v>
      </c>
    </row>
    <row r="86" spans="1:5" x14ac:dyDescent="0.35">
      <c r="A86">
        <v>0.81775429326287974</v>
      </c>
      <c r="D86">
        <v>3.4727919059338253E-2</v>
      </c>
      <c r="E86">
        <v>0.88442358462892345</v>
      </c>
    </row>
    <row r="87" spans="1:5" x14ac:dyDescent="0.35">
      <c r="A87">
        <v>0.6811594202898551</v>
      </c>
      <c r="D87">
        <v>0.11149425287356322</v>
      </c>
      <c r="E87">
        <v>0.85023369233895552</v>
      </c>
    </row>
    <row r="88" spans="1:5" x14ac:dyDescent="0.35">
      <c r="A88">
        <v>0.79230769230769227</v>
      </c>
      <c r="D88">
        <v>4.541895066562255E-2</v>
      </c>
      <c r="E88">
        <v>0.86366181410974241</v>
      </c>
    </row>
    <row r="89" spans="1:5" x14ac:dyDescent="0.35">
      <c r="A89">
        <v>0.51206322795341097</v>
      </c>
      <c r="D89">
        <v>0.18612922347362182</v>
      </c>
      <c r="E89">
        <v>0.64299964792864683</v>
      </c>
    </row>
    <row r="90" spans="1:5" x14ac:dyDescent="0.35">
      <c r="A90">
        <v>0.78940681330898121</v>
      </c>
      <c r="D90">
        <v>6.4859117490696436E-2</v>
      </c>
      <c r="E90">
        <v>0.8803983703033047</v>
      </c>
    </row>
    <row r="91" spans="1:5" x14ac:dyDescent="0.35">
      <c r="A91">
        <v>0.70284608215642697</v>
      </c>
      <c r="D91">
        <v>7.084927314460597E-2</v>
      </c>
      <c r="E91">
        <v>0.81134898710865566</v>
      </c>
    </row>
    <row r="92" spans="1:5" x14ac:dyDescent="0.35">
      <c r="A92">
        <v>0.76008089737709017</v>
      </c>
      <c r="D92">
        <v>6.5295815295815296E-2</v>
      </c>
      <c r="E92">
        <v>0.84800636420616171</v>
      </c>
    </row>
    <row r="93" spans="1:5" x14ac:dyDescent="0.35">
      <c r="A93">
        <v>0.78251599147121531</v>
      </c>
      <c r="D93">
        <v>0</v>
      </c>
      <c r="E93">
        <v>0.92802056555269918</v>
      </c>
    </row>
  </sheetData>
  <autoFilter ref="D1:E93" xr:uid="{CF054E61-B335-4E83-9916-A8743D9E6E47}"/>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BDD59-A6C3-457D-86F8-0509259601DB}">
  <dimension ref="A1:H13"/>
  <sheetViews>
    <sheetView workbookViewId="0">
      <selection activeCell="F27" sqref="F27"/>
    </sheetView>
  </sheetViews>
  <sheetFormatPr defaultRowHeight="14.5" x14ac:dyDescent="0.35"/>
  <cols>
    <col min="1" max="1" width="18.08984375" bestFit="1" customWidth="1"/>
    <col min="2" max="2" width="32.36328125" customWidth="1"/>
    <col min="3" max="3" width="27" bestFit="1" customWidth="1"/>
    <col min="6" max="6" width="41.90625" bestFit="1" customWidth="1"/>
    <col min="7" max="8" width="11.81640625" bestFit="1" customWidth="1"/>
  </cols>
  <sheetData>
    <row r="1" spans="1:8" x14ac:dyDescent="0.35">
      <c r="A1" t="s">
        <v>342</v>
      </c>
      <c r="C1" t="s">
        <v>343</v>
      </c>
      <c r="F1" t="s">
        <v>344</v>
      </c>
    </row>
    <row r="2" spans="1:8" x14ac:dyDescent="0.35">
      <c r="A2">
        <v>1.4450867052023121E-2</v>
      </c>
      <c r="C2">
        <v>2.0083463745435577E-2</v>
      </c>
    </row>
    <row r="3" spans="1:8" x14ac:dyDescent="0.35">
      <c r="A3">
        <v>3.8947368421052633E-2</v>
      </c>
      <c r="C3">
        <v>2.764797507788162E-2</v>
      </c>
      <c r="G3" t="s">
        <v>345</v>
      </c>
      <c r="H3" t="s">
        <v>346</v>
      </c>
    </row>
    <row r="4" spans="1:8" x14ac:dyDescent="0.35">
      <c r="A4">
        <v>0.37675606641123882</v>
      </c>
      <c r="C4">
        <v>3.1084154662623199E-2</v>
      </c>
      <c r="F4" t="s">
        <v>347</v>
      </c>
      <c r="G4">
        <v>0.14338476729477154</v>
      </c>
      <c r="H4">
        <v>2.6271864495313463E-2</v>
      </c>
    </row>
    <row r="5" spans="1:8" x14ac:dyDescent="0.35">
      <c r="F5" t="s">
        <v>348</v>
      </c>
      <c r="G5">
        <v>4.0996642083311455E-2</v>
      </c>
      <c r="H5">
        <v>3.1674060415465798E-5</v>
      </c>
    </row>
    <row r="6" spans="1:8" x14ac:dyDescent="0.35">
      <c r="F6" t="s">
        <v>349</v>
      </c>
      <c r="G6">
        <v>3</v>
      </c>
      <c r="H6">
        <v>3</v>
      </c>
    </row>
    <row r="7" spans="1:8" x14ac:dyDescent="0.35">
      <c r="F7" t="s">
        <v>350</v>
      </c>
      <c r="G7">
        <v>0</v>
      </c>
    </row>
    <row r="8" spans="1:8" x14ac:dyDescent="0.35">
      <c r="F8" t="s">
        <v>351</v>
      </c>
      <c r="G8">
        <v>2</v>
      </c>
    </row>
    <row r="9" spans="1:8" x14ac:dyDescent="0.35">
      <c r="F9" t="s">
        <v>352</v>
      </c>
      <c r="G9">
        <v>1.0014367536928153</v>
      </c>
    </row>
    <row r="10" spans="1:8" x14ac:dyDescent="0.35">
      <c r="F10" t="s">
        <v>353</v>
      </c>
      <c r="G10">
        <v>0.21104856059825183</v>
      </c>
    </row>
    <row r="11" spans="1:8" x14ac:dyDescent="0.35">
      <c r="F11" t="s">
        <v>354</v>
      </c>
      <c r="G11">
        <v>2.9199855803537269</v>
      </c>
    </row>
    <row r="12" spans="1:8" x14ac:dyDescent="0.35">
      <c r="F12" t="s">
        <v>355</v>
      </c>
      <c r="G12">
        <v>0.42209712119650367</v>
      </c>
    </row>
    <row r="13" spans="1:8" x14ac:dyDescent="0.35">
      <c r="F13" t="s">
        <v>356</v>
      </c>
      <c r="G13">
        <v>4.3026527297494637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63388-9220-4103-BCBB-00CB55B6E221}">
  <dimension ref="A1:M93"/>
  <sheetViews>
    <sheetView workbookViewId="0">
      <selection activeCell="F30" sqref="F30"/>
    </sheetView>
  </sheetViews>
  <sheetFormatPr defaultRowHeight="14.5" x14ac:dyDescent="0.35"/>
  <cols>
    <col min="1" max="1" width="19.90625" bestFit="1" customWidth="1"/>
    <col min="2" max="2" width="22" bestFit="1" customWidth="1"/>
    <col min="4" max="4" width="41.90625" bestFit="1" customWidth="1"/>
    <col min="5" max="5" width="20.1796875" bestFit="1" customWidth="1"/>
    <col min="6" max="6" width="22.26953125" bestFit="1" customWidth="1"/>
    <col min="8" max="8" width="22.36328125" bestFit="1" customWidth="1"/>
    <col min="9" max="9" width="24.36328125" bestFit="1" customWidth="1"/>
    <col min="11" max="11" width="41.90625" bestFit="1" customWidth="1"/>
    <col min="12" max="12" width="22.54296875" bestFit="1" customWidth="1"/>
    <col min="13" max="13" width="24.54296875" bestFit="1" customWidth="1"/>
  </cols>
  <sheetData>
    <row r="1" spans="1:13" x14ac:dyDescent="0.35">
      <c r="A1" t="s">
        <v>99</v>
      </c>
      <c r="B1" t="s">
        <v>93</v>
      </c>
      <c r="D1" t="s">
        <v>344</v>
      </c>
      <c r="H1" t="s">
        <v>98</v>
      </c>
      <c r="I1" t="s">
        <v>90</v>
      </c>
      <c r="K1" t="s">
        <v>344</v>
      </c>
    </row>
    <row r="2" spans="1:13" ht="15" thickBot="1" x14ac:dyDescent="0.4">
      <c r="A2">
        <v>0.70067511711215213</v>
      </c>
      <c r="B2">
        <v>0.82841915241124386</v>
      </c>
      <c r="H2">
        <v>5.3420195439739415E-2</v>
      </c>
      <c r="I2">
        <v>5.1942941465814067E-2</v>
      </c>
    </row>
    <row r="3" spans="1:13" x14ac:dyDescent="0.35">
      <c r="A3">
        <v>0.68544713497962118</v>
      </c>
      <c r="B3">
        <v>0.82799020129939294</v>
      </c>
      <c r="D3" s="40"/>
      <c r="E3" s="40" t="s">
        <v>99</v>
      </c>
      <c r="F3" s="40" t="s">
        <v>93</v>
      </c>
      <c r="H3">
        <v>2.931190583974649E-2</v>
      </c>
      <c r="I3">
        <v>2.6424546023794616E-2</v>
      </c>
      <c r="K3" s="40"/>
      <c r="L3" s="40" t="s">
        <v>98</v>
      </c>
      <c r="M3" s="40" t="s">
        <v>90</v>
      </c>
    </row>
    <row r="4" spans="1:13" x14ac:dyDescent="0.35">
      <c r="A4">
        <v>0.61470588235294121</v>
      </c>
      <c r="B4">
        <v>0.80193652501344814</v>
      </c>
      <c r="D4" t="s">
        <v>347</v>
      </c>
      <c r="E4">
        <v>0.70982719083724011</v>
      </c>
      <c r="F4">
        <v>0.8233742865899577</v>
      </c>
      <c r="H4">
        <v>4.1847889972963445E-2</v>
      </c>
      <c r="I4">
        <v>4.1409465020576131E-2</v>
      </c>
      <c r="K4" t="s">
        <v>347</v>
      </c>
      <c r="L4">
        <v>4.357185333528759E-2</v>
      </c>
      <c r="M4">
        <v>4.1366461401208317E-2</v>
      </c>
    </row>
    <row r="5" spans="1:13" x14ac:dyDescent="0.35">
      <c r="A5">
        <v>0.75426233234826101</v>
      </c>
      <c r="B5">
        <v>0.83309239059009066</v>
      </c>
      <c r="D5" t="s">
        <v>348</v>
      </c>
      <c r="E5">
        <v>5.2814415771678114E-3</v>
      </c>
      <c r="F5">
        <v>2.6441062258440455E-3</v>
      </c>
      <c r="H5">
        <v>3.867883528900478E-2</v>
      </c>
      <c r="I5">
        <v>3.9690955915770335E-2</v>
      </c>
      <c r="K5" t="s">
        <v>348</v>
      </c>
      <c r="L5">
        <v>3.9689008649104865E-4</v>
      </c>
      <c r="M5">
        <v>4.3405100982051194E-4</v>
      </c>
    </row>
    <row r="6" spans="1:13" x14ac:dyDescent="0.35">
      <c r="A6">
        <v>0.76149769191314753</v>
      </c>
      <c r="B6">
        <v>0.86058065517776738</v>
      </c>
      <c r="D6" t="s">
        <v>349</v>
      </c>
      <c r="E6">
        <v>92</v>
      </c>
      <c r="F6">
        <v>92</v>
      </c>
      <c r="H6">
        <v>3.0738262336107939E-2</v>
      </c>
      <c r="I6">
        <v>2.782812043262204E-2</v>
      </c>
      <c r="K6" t="s">
        <v>349</v>
      </c>
      <c r="L6">
        <v>92</v>
      </c>
      <c r="M6">
        <v>92</v>
      </c>
    </row>
    <row r="7" spans="1:13" x14ac:dyDescent="0.35">
      <c r="A7">
        <v>0.73901080904028826</v>
      </c>
      <c r="B7">
        <v>0.85554400831401389</v>
      </c>
      <c r="D7" t="s">
        <v>350</v>
      </c>
      <c r="E7">
        <v>0</v>
      </c>
      <c r="H7">
        <v>4.2278631462772734E-2</v>
      </c>
      <c r="I7">
        <v>4.4464285714285713E-2</v>
      </c>
      <c r="K7" t="s">
        <v>350</v>
      </c>
      <c r="L7">
        <v>0</v>
      </c>
    </row>
    <row r="8" spans="1:13" x14ac:dyDescent="0.35">
      <c r="A8">
        <v>0.71778321833963943</v>
      </c>
      <c r="B8">
        <v>0.81940700808625333</v>
      </c>
      <c r="D8" t="s">
        <v>351</v>
      </c>
      <c r="E8">
        <v>164</v>
      </c>
      <c r="H8">
        <v>4.6704108779190068E-2</v>
      </c>
      <c r="I8">
        <v>4.4626021370207415E-2</v>
      </c>
      <c r="K8" t="s">
        <v>351</v>
      </c>
      <c r="L8">
        <v>182</v>
      </c>
    </row>
    <row r="9" spans="1:13" x14ac:dyDescent="0.35">
      <c r="A9">
        <v>0.69728183118741061</v>
      </c>
      <c r="B9">
        <v>0.83489403647116811</v>
      </c>
      <c r="D9" t="s">
        <v>352</v>
      </c>
      <c r="E9">
        <v>-12.233628816671098</v>
      </c>
      <c r="H9">
        <v>4.4813169584530965E-2</v>
      </c>
      <c r="I9">
        <v>4.8180924287118974E-2</v>
      </c>
      <c r="K9" t="s">
        <v>352</v>
      </c>
      <c r="L9">
        <v>0.73382850270183597</v>
      </c>
    </row>
    <row r="10" spans="1:13" x14ac:dyDescent="0.35">
      <c r="A10">
        <v>0.78851744186046513</v>
      </c>
      <c r="B10">
        <v>0.86287228211218714</v>
      </c>
      <c r="D10" t="s">
        <v>353</v>
      </c>
      <c r="E10">
        <v>3.6143984841299017E-25</v>
      </c>
      <c r="H10">
        <v>1.7407929160796941E-2</v>
      </c>
      <c r="I10">
        <v>1.7067332708918723E-2</v>
      </c>
      <c r="K10" t="s">
        <v>353</v>
      </c>
      <c r="L10">
        <v>0.23199876924191787</v>
      </c>
    </row>
    <row r="11" spans="1:13" x14ac:dyDescent="0.35">
      <c r="A11">
        <v>0.69411589674923757</v>
      </c>
      <c r="B11">
        <v>0.84433362667448908</v>
      </c>
      <c r="D11" t="s">
        <v>354</v>
      </c>
      <c r="E11">
        <v>1.6541979291998445</v>
      </c>
      <c r="H11">
        <v>3.1853081552189251E-2</v>
      </c>
      <c r="I11">
        <v>2.7918496003602387E-2</v>
      </c>
      <c r="K11" t="s">
        <v>354</v>
      </c>
      <c r="L11">
        <v>1.6532690237054619</v>
      </c>
    </row>
    <row r="12" spans="1:13" x14ac:dyDescent="0.35">
      <c r="A12">
        <v>0.79802078179119251</v>
      </c>
      <c r="B12">
        <v>0.86873010646471294</v>
      </c>
      <c r="D12" t="s">
        <v>355</v>
      </c>
      <c r="E12" s="42">
        <v>7.2287969682597998E-25</v>
      </c>
      <c r="H12">
        <v>6.4609674051734137E-2</v>
      </c>
      <c r="I12">
        <v>6.5745986779981114E-2</v>
      </c>
      <c r="K12" t="s">
        <v>355</v>
      </c>
      <c r="L12">
        <v>0.46399753848383574</v>
      </c>
    </row>
    <row r="13" spans="1:13" ht="15" thickBot="1" x14ac:dyDescent="0.4">
      <c r="A13">
        <v>0.82642214694545035</v>
      </c>
      <c r="B13">
        <v>0.89484334203655358</v>
      </c>
      <c r="D13" s="39" t="s">
        <v>356</v>
      </c>
      <c r="E13" s="39">
        <v>1.9745345758584751</v>
      </c>
      <c r="F13" s="39"/>
      <c r="H13">
        <v>2.9758639605046627E-2</v>
      </c>
      <c r="I13">
        <v>2.8626089421101113E-2</v>
      </c>
      <c r="K13" s="39" t="s">
        <v>356</v>
      </c>
      <c r="L13" s="39">
        <v>1.9730840773359002</v>
      </c>
      <c r="M13" s="39"/>
    </row>
    <row r="14" spans="1:13" x14ac:dyDescent="0.35">
      <c r="A14">
        <v>0.77093400207963791</v>
      </c>
      <c r="B14">
        <v>0.83485726251134218</v>
      </c>
      <c r="H14">
        <v>4.0499390986601706E-2</v>
      </c>
      <c r="I14">
        <v>3.5714285714285712E-2</v>
      </c>
    </row>
    <row r="15" spans="1:13" x14ac:dyDescent="0.35">
      <c r="A15">
        <v>0.7840365454480055</v>
      </c>
      <c r="B15">
        <v>0.85466116959532479</v>
      </c>
      <c r="H15">
        <v>5.1231827283015584E-2</v>
      </c>
      <c r="I15">
        <v>4.7296091379618065E-2</v>
      </c>
    </row>
    <row r="16" spans="1:13" x14ac:dyDescent="0.35">
      <c r="A16">
        <v>0.68367443176459497</v>
      </c>
      <c r="B16">
        <v>0.82383683875079672</v>
      </c>
      <c r="H16">
        <v>1.9477884485323955E-2</v>
      </c>
      <c r="I16">
        <v>2.1795065839261388E-2</v>
      </c>
    </row>
    <row r="17" spans="1:9" x14ac:dyDescent="0.35">
      <c r="A17">
        <v>0.80588947907930297</v>
      </c>
      <c r="B17">
        <v>0.87485380116959066</v>
      </c>
      <c r="H17">
        <v>3.4390352836087539E-2</v>
      </c>
      <c r="I17">
        <v>3.415893884258716E-2</v>
      </c>
    </row>
    <row r="18" spans="1:9" x14ac:dyDescent="0.35">
      <c r="A18">
        <v>0.75723948679681297</v>
      </c>
      <c r="B18">
        <v>0.86495681758701914</v>
      </c>
      <c r="H18">
        <v>3.8246354214436395E-2</v>
      </c>
      <c r="I18">
        <v>3.3562934563649359E-2</v>
      </c>
    </row>
    <row r="19" spans="1:9" x14ac:dyDescent="0.35">
      <c r="A19">
        <v>0.7781772424950566</v>
      </c>
      <c r="B19">
        <v>0.83937512517524537</v>
      </c>
      <c r="H19">
        <v>2.7628032345013476E-2</v>
      </c>
      <c r="I19">
        <v>2.851182197496523E-2</v>
      </c>
    </row>
    <row r="20" spans="1:9" x14ac:dyDescent="0.35">
      <c r="A20">
        <v>0.63411860276198218</v>
      </c>
      <c r="B20">
        <v>0.73312025569316819</v>
      </c>
      <c r="H20">
        <v>3.7959083066305153E-2</v>
      </c>
      <c r="I20">
        <v>3.4718569174118884E-2</v>
      </c>
    </row>
    <row r="21" spans="1:9" x14ac:dyDescent="0.35">
      <c r="A21">
        <v>0.56538648517258139</v>
      </c>
      <c r="B21">
        <v>0.71331432331651679</v>
      </c>
      <c r="H21">
        <v>6.4109442060085842E-2</v>
      </c>
      <c r="I21">
        <v>6.6322136089577946E-2</v>
      </c>
    </row>
    <row r="22" spans="1:9" x14ac:dyDescent="0.35">
      <c r="A22">
        <v>0.69071320082607601</v>
      </c>
      <c r="B22">
        <v>0.81493714769268566</v>
      </c>
      <c r="H22">
        <v>4.4775217227049489E-2</v>
      </c>
      <c r="I22">
        <v>4.2772861356932153E-2</v>
      </c>
    </row>
    <row r="23" spans="1:9" x14ac:dyDescent="0.35">
      <c r="A23">
        <v>0.66890589725235394</v>
      </c>
      <c r="B23">
        <v>0.8029829341746737</v>
      </c>
      <c r="H23">
        <v>3.6255454184847283E-2</v>
      </c>
      <c r="I23">
        <v>3.3754400496997308E-2</v>
      </c>
    </row>
    <row r="24" spans="1:9" x14ac:dyDescent="0.35">
      <c r="A24">
        <v>0.72651194718405832</v>
      </c>
      <c r="B24">
        <v>0.82850535393806535</v>
      </c>
      <c r="H24">
        <v>5.1566906512743468E-2</v>
      </c>
      <c r="I24">
        <v>5.0206431836069647E-2</v>
      </c>
    </row>
    <row r="25" spans="1:9" x14ac:dyDescent="0.35">
      <c r="A25">
        <v>0.66385581649371928</v>
      </c>
      <c r="B25">
        <v>0.7964355908909545</v>
      </c>
      <c r="H25">
        <v>4.5243182103807969E-2</v>
      </c>
      <c r="I25">
        <v>3.4365369454597575E-2</v>
      </c>
    </row>
    <row r="26" spans="1:9" x14ac:dyDescent="0.35">
      <c r="A26">
        <v>0.68890209805605085</v>
      </c>
      <c r="B26">
        <v>0.81819331272829443</v>
      </c>
      <c r="H26">
        <v>4.4781586739521963E-2</v>
      </c>
      <c r="I26">
        <v>4.2735745163464227E-2</v>
      </c>
    </row>
    <row r="27" spans="1:9" x14ac:dyDescent="0.35">
      <c r="A27">
        <v>0.74953626103475246</v>
      </c>
      <c r="B27">
        <v>0.86012131432923511</v>
      </c>
      <c r="H27">
        <v>3.3041171721831394E-2</v>
      </c>
      <c r="I27">
        <v>3.281897566869045E-2</v>
      </c>
    </row>
    <row r="28" spans="1:9" x14ac:dyDescent="0.35">
      <c r="A28">
        <v>0.76279103791330516</v>
      </c>
      <c r="B28">
        <v>0.85885458228469702</v>
      </c>
      <c r="H28">
        <v>4.0007891102781613E-2</v>
      </c>
      <c r="I28">
        <v>3.6868770306734952E-2</v>
      </c>
    </row>
    <row r="29" spans="1:9" x14ac:dyDescent="0.35">
      <c r="A29">
        <v>0.65428512139448014</v>
      </c>
      <c r="B29">
        <v>0.81889763779527558</v>
      </c>
      <c r="H29">
        <v>2.9248768472906403E-2</v>
      </c>
      <c r="I29">
        <v>2.8685790527018012E-2</v>
      </c>
    </row>
    <row r="30" spans="1:9" x14ac:dyDescent="0.35">
      <c r="A30">
        <v>0.71481893265565444</v>
      </c>
      <c r="B30">
        <v>0.8486558588138724</v>
      </c>
      <c r="H30">
        <v>3.1942353194235322E-2</v>
      </c>
      <c r="I30">
        <v>3.1158486587794305E-2</v>
      </c>
    </row>
    <row r="31" spans="1:9" x14ac:dyDescent="0.35">
      <c r="A31">
        <v>0.72531639336189491</v>
      </c>
      <c r="B31">
        <v>0.85035499726925179</v>
      </c>
      <c r="H31">
        <v>4.444011937199948E-2</v>
      </c>
      <c r="I31">
        <v>4.2697089766361523E-2</v>
      </c>
    </row>
    <row r="32" spans="1:9" x14ac:dyDescent="0.35">
      <c r="A32">
        <v>0.66469409182017758</v>
      </c>
      <c r="B32">
        <v>0.84106045081967218</v>
      </c>
      <c r="H32">
        <v>2.6694619147449337E-2</v>
      </c>
      <c r="I32">
        <v>2.4074899687917966E-2</v>
      </c>
    </row>
    <row r="33" spans="1:9" x14ac:dyDescent="0.35">
      <c r="A33">
        <v>0.68746444149440544</v>
      </c>
      <c r="B33">
        <v>0.76976093043290972</v>
      </c>
      <c r="H33">
        <v>7.83117213323163E-2</v>
      </c>
      <c r="I33">
        <v>7.5530263838592862E-2</v>
      </c>
    </row>
    <row r="34" spans="1:9" x14ac:dyDescent="0.35">
      <c r="A34">
        <v>0.65004956804985126</v>
      </c>
      <c r="B34">
        <v>0.7458081824279007</v>
      </c>
      <c r="H34">
        <v>4.0752351097178681E-2</v>
      </c>
      <c r="I34">
        <v>3.9723661485319514E-2</v>
      </c>
    </row>
    <row r="35" spans="1:9" x14ac:dyDescent="0.35">
      <c r="A35">
        <v>0.77944800394282898</v>
      </c>
      <c r="B35">
        <v>0.87724898432965759</v>
      </c>
      <c r="H35">
        <v>2.5569932224276032E-2</v>
      </c>
      <c r="I35">
        <v>2.420916720464816E-2</v>
      </c>
    </row>
    <row r="36" spans="1:9" x14ac:dyDescent="0.35">
      <c r="A36">
        <v>0.72346861608268209</v>
      </c>
      <c r="B36">
        <v>0.84430769230769231</v>
      </c>
      <c r="H36">
        <v>4.9249116607773855E-2</v>
      </c>
      <c r="I36">
        <v>4.0447604615922603E-2</v>
      </c>
    </row>
    <row r="37" spans="1:9" x14ac:dyDescent="0.35">
      <c r="A37">
        <v>0.64103321033210336</v>
      </c>
      <c r="B37">
        <v>0.7663461538461539</v>
      </c>
      <c r="H37">
        <v>3.8521142351117997E-2</v>
      </c>
      <c r="I37">
        <v>3.8600723763570564E-2</v>
      </c>
    </row>
    <row r="38" spans="1:9" x14ac:dyDescent="0.35">
      <c r="A38">
        <v>0.68302346845473938</v>
      </c>
      <c r="B38">
        <v>0.77781969068276124</v>
      </c>
      <c r="H38">
        <v>6.6638900458142442E-2</v>
      </c>
      <c r="I38">
        <v>7.2007200720072009E-2</v>
      </c>
    </row>
    <row r="39" spans="1:9" x14ac:dyDescent="0.35">
      <c r="A39">
        <v>0.83771106941838647</v>
      </c>
      <c r="B39">
        <v>0.94013303769401335</v>
      </c>
      <c r="H39">
        <v>6.6740823136818691E-3</v>
      </c>
      <c r="I39">
        <v>7.0257611241217799E-3</v>
      </c>
    </row>
    <row r="40" spans="1:9" x14ac:dyDescent="0.35">
      <c r="A40">
        <v>0.69590085795996182</v>
      </c>
      <c r="B40">
        <v>0.81860075408462507</v>
      </c>
      <c r="H40">
        <v>5.4812257229175661E-2</v>
      </c>
      <c r="I40">
        <v>6.1028351753964441E-2</v>
      </c>
    </row>
    <row r="41" spans="1:9" x14ac:dyDescent="0.35">
      <c r="A41">
        <v>0.58609016771811051</v>
      </c>
      <c r="B41">
        <v>0.73654720372132365</v>
      </c>
      <c r="H41">
        <v>4.5243764882817394E-2</v>
      </c>
      <c r="I41">
        <v>3.7441282122133185E-2</v>
      </c>
    </row>
    <row r="42" spans="1:9" x14ac:dyDescent="0.35">
      <c r="A42">
        <v>0.65272513396941578</v>
      </c>
      <c r="B42">
        <v>0.81213202497769843</v>
      </c>
      <c r="H42">
        <v>1.7702596380802519E-2</v>
      </c>
      <c r="I42">
        <v>1.7907227615965481E-2</v>
      </c>
    </row>
    <row r="43" spans="1:9" x14ac:dyDescent="0.35">
      <c r="A43">
        <v>0.71760168813213998</v>
      </c>
      <c r="B43">
        <v>0.83866481223922118</v>
      </c>
      <c r="H43">
        <v>2.9999016425690962E-2</v>
      </c>
      <c r="I43">
        <v>2.8672680412371133E-2</v>
      </c>
    </row>
    <row r="44" spans="1:9" x14ac:dyDescent="0.35">
      <c r="A44">
        <v>0.672671285604311</v>
      </c>
      <c r="B44">
        <v>0.78036881646989953</v>
      </c>
      <c r="H44">
        <v>4.3877885983149144E-2</v>
      </c>
      <c r="I44">
        <v>4.6381304399666153E-2</v>
      </c>
    </row>
    <row r="45" spans="1:9" x14ac:dyDescent="0.35">
      <c r="A45">
        <v>0.72184524148942242</v>
      </c>
      <c r="B45">
        <v>0.83398656215005595</v>
      </c>
      <c r="H45">
        <v>1.8910330930791287E-2</v>
      </c>
      <c r="I45">
        <v>1.7399191885874497E-2</v>
      </c>
    </row>
    <row r="46" spans="1:9" x14ac:dyDescent="0.35">
      <c r="A46">
        <v>0.6649568664024248</v>
      </c>
      <c r="B46">
        <v>0.82729278285534191</v>
      </c>
      <c r="H46">
        <v>2.6122588355813558E-2</v>
      </c>
      <c r="I46">
        <v>2.6696329254727477E-2</v>
      </c>
    </row>
    <row r="47" spans="1:9" x14ac:dyDescent="0.35">
      <c r="A47">
        <v>0.71712409496548235</v>
      </c>
      <c r="B47">
        <v>0.84198991891299579</v>
      </c>
      <c r="H47">
        <v>2.9177114201048553E-2</v>
      </c>
      <c r="I47">
        <v>3.2241813602015112E-2</v>
      </c>
    </row>
    <row r="48" spans="1:9" x14ac:dyDescent="0.35">
      <c r="A48">
        <v>0.62291501191421761</v>
      </c>
      <c r="B48">
        <v>0.75895938412529862</v>
      </c>
      <c r="H48">
        <v>3.6251920122887867E-2</v>
      </c>
      <c r="I48">
        <v>3.3141697666553942E-2</v>
      </c>
    </row>
    <row r="49" spans="1:9" x14ac:dyDescent="0.35">
      <c r="A49">
        <v>0.63648363252375928</v>
      </c>
      <c r="B49">
        <v>0.79259513198491605</v>
      </c>
      <c r="H49">
        <v>7.4472168905950098E-2</v>
      </c>
      <c r="I49">
        <v>7.7414205905826011E-2</v>
      </c>
    </row>
    <row r="50" spans="1:9" x14ac:dyDescent="0.35">
      <c r="A50">
        <v>0.73751339217386869</v>
      </c>
      <c r="B50">
        <v>0.82733345155760474</v>
      </c>
      <c r="H50">
        <v>4.8509181860067134E-2</v>
      </c>
      <c r="I50">
        <v>4.0712816997943796E-2</v>
      </c>
    </row>
    <row r="51" spans="1:9" x14ac:dyDescent="0.35">
      <c r="A51">
        <v>0.62977221687520046</v>
      </c>
      <c r="B51">
        <v>0.80955188679245282</v>
      </c>
      <c r="H51">
        <v>6.9888651978204222E-2</v>
      </c>
      <c r="I51">
        <v>5.9830522982110758E-2</v>
      </c>
    </row>
    <row r="52" spans="1:9" x14ac:dyDescent="0.35">
      <c r="A52">
        <v>0.82597402597402603</v>
      </c>
      <c r="B52">
        <v>0.86608674344523406</v>
      </c>
      <c r="H52">
        <v>5.2949678097490474E-2</v>
      </c>
      <c r="I52">
        <v>5.3216661458100806E-2</v>
      </c>
    </row>
    <row r="53" spans="1:9" x14ac:dyDescent="0.35">
      <c r="A53">
        <v>0.7719457013574661</v>
      </c>
      <c r="B53">
        <v>0.85658713692946054</v>
      </c>
      <c r="H53">
        <v>4.291725105189341E-2</v>
      </c>
      <c r="I53">
        <v>4.4270833333333336E-2</v>
      </c>
    </row>
    <row r="54" spans="1:9" x14ac:dyDescent="0.35">
      <c r="A54">
        <v>0.67292408879144971</v>
      </c>
      <c r="B54">
        <v>0.78242247729998282</v>
      </c>
      <c r="H54">
        <v>3.3077377436503248E-2</v>
      </c>
      <c r="I54">
        <v>2.9124149659863947E-2</v>
      </c>
    </row>
    <row r="55" spans="1:9" x14ac:dyDescent="0.35">
      <c r="A55">
        <v>0.52138658017433614</v>
      </c>
      <c r="B55">
        <v>0.73961806608063052</v>
      </c>
      <c r="H55">
        <v>0.14636574842349817</v>
      </c>
      <c r="I55">
        <v>0.15307185005206525</v>
      </c>
    </row>
    <row r="56" spans="1:9" x14ac:dyDescent="0.35">
      <c r="A56">
        <v>0.72751677852348995</v>
      </c>
      <c r="B56">
        <v>0.82464391292663264</v>
      </c>
      <c r="H56">
        <v>5.6707759245830311E-2</v>
      </c>
      <c r="I56">
        <v>5.9895833333333336E-2</v>
      </c>
    </row>
    <row r="57" spans="1:9" x14ac:dyDescent="0.35">
      <c r="A57">
        <v>0.50445261618891502</v>
      </c>
      <c r="B57">
        <v>0.67331923890063428</v>
      </c>
      <c r="H57">
        <v>8.3916646552417734E-2</v>
      </c>
      <c r="I57">
        <v>4.4407105136821889E-2</v>
      </c>
    </row>
    <row r="58" spans="1:9" x14ac:dyDescent="0.35">
      <c r="A58">
        <v>0.69328355042640755</v>
      </c>
      <c r="B58">
        <v>0.79877754543992274</v>
      </c>
      <c r="H58">
        <v>3.2563647128478389E-2</v>
      </c>
      <c r="I58">
        <v>2.8750244474867983E-2</v>
      </c>
    </row>
    <row r="59" spans="1:9" x14ac:dyDescent="0.35">
      <c r="A59">
        <v>0.69692502106149956</v>
      </c>
      <c r="B59">
        <v>0.84351109883024777</v>
      </c>
      <c r="H59">
        <v>3.8081395348837206E-2</v>
      </c>
      <c r="I59">
        <v>2.9667302394575122E-2</v>
      </c>
    </row>
    <row r="60" spans="1:9" x14ac:dyDescent="0.35">
      <c r="A60">
        <v>0.6091035441278666</v>
      </c>
      <c r="B60">
        <v>0.77337533156498672</v>
      </c>
      <c r="H60">
        <v>4.120328167730173E-2</v>
      </c>
      <c r="I60">
        <v>4.0320921621065625E-2</v>
      </c>
    </row>
    <row r="61" spans="1:9" x14ac:dyDescent="0.35">
      <c r="A61">
        <v>0.64066648964418482</v>
      </c>
      <c r="B61">
        <v>0.77722251446607049</v>
      </c>
      <c r="H61">
        <v>5.2430044182621503E-2</v>
      </c>
      <c r="I61">
        <v>4.9125817869784406E-2</v>
      </c>
    </row>
    <row r="62" spans="1:9" x14ac:dyDescent="0.35">
      <c r="A62">
        <v>0.69968543289725116</v>
      </c>
      <c r="B62">
        <v>0.82916539881817741</v>
      </c>
      <c r="H62">
        <v>3.6765122509935973E-2</v>
      </c>
      <c r="I62">
        <v>3.5158196585156884E-2</v>
      </c>
    </row>
    <row r="63" spans="1:9" x14ac:dyDescent="0.35">
      <c r="A63">
        <v>0.76544038668098824</v>
      </c>
      <c r="B63">
        <v>0.82648125755743651</v>
      </c>
      <c r="H63">
        <v>4.1365394316462079E-2</v>
      </c>
      <c r="I63">
        <v>4.2214047994394814E-2</v>
      </c>
    </row>
    <row r="64" spans="1:9" x14ac:dyDescent="0.35">
      <c r="A64">
        <v>0.80458071666050979</v>
      </c>
      <c r="B64">
        <v>0.85257189145403001</v>
      </c>
      <c r="H64">
        <v>3.3288948069241014E-2</v>
      </c>
      <c r="I64">
        <v>3.4403669724770644E-2</v>
      </c>
    </row>
    <row r="65" spans="1:9" x14ac:dyDescent="0.35">
      <c r="A65">
        <v>0.76684372379088617</v>
      </c>
      <c r="B65">
        <v>0.83561643835616439</v>
      </c>
      <c r="H65">
        <v>2.523098791755508E-2</v>
      </c>
      <c r="I65">
        <v>1.6515926071569011E-2</v>
      </c>
    </row>
    <row r="66" spans="1:9" x14ac:dyDescent="0.35">
      <c r="A66">
        <v>0.74423569598633643</v>
      </c>
      <c r="B66">
        <v>0.83886010362694297</v>
      </c>
      <c r="H66">
        <v>1.0221465076660987E-2</v>
      </c>
      <c r="I66">
        <v>1.0995723885155772E-2</v>
      </c>
    </row>
    <row r="67" spans="1:9" x14ac:dyDescent="0.35">
      <c r="A67">
        <v>0.79304255694861381</v>
      </c>
      <c r="B67">
        <v>0.84963589844518794</v>
      </c>
      <c r="H67">
        <v>5.8687906099350241E-2</v>
      </c>
      <c r="I67">
        <v>6.0909288666521642E-2</v>
      </c>
    </row>
    <row r="68" spans="1:9" x14ac:dyDescent="0.35">
      <c r="A68">
        <v>0.6686831084225221</v>
      </c>
      <c r="B68">
        <v>0.80033571128829206</v>
      </c>
      <c r="H68">
        <v>5.5670296657904621E-2</v>
      </c>
      <c r="I68">
        <v>5.6588840522358526E-2</v>
      </c>
    </row>
    <row r="69" spans="1:9" x14ac:dyDescent="0.35">
      <c r="A69">
        <v>0.7457278481012658</v>
      </c>
      <c r="B69">
        <v>0.85185887708649466</v>
      </c>
      <c r="H69">
        <v>2.984767393989296E-2</v>
      </c>
      <c r="I69">
        <v>2.4543874891398785E-2</v>
      </c>
    </row>
    <row r="70" spans="1:9" x14ac:dyDescent="0.35">
      <c r="A70">
        <v>0.71542594013814276</v>
      </c>
      <c r="B70">
        <v>0.81712415924377391</v>
      </c>
      <c r="H70">
        <v>2.0180786209796089E-2</v>
      </c>
      <c r="I70">
        <v>1.5549715286903198E-2</v>
      </c>
    </row>
    <row r="71" spans="1:9" x14ac:dyDescent="0.35">
      <c r="A71">
        <v>0.59815546772068506</v>
      </c>
      <c r="B71">
        <v>0.77868338557993733</v>
      </c>
      <c r="H71">
        <v>9.5617529880478086E-2</v>
      </c>
      <c r="I71">
        <v>0.1038961038961039</v>
      </c>
    </row>
    <row r="72" spans="1:9" x14ac:dyDescent="0.35">
      <c r="A72">
        <v>0.63544865233708636</v>
      </c>
      <c r="B72">
        <v>0.78310502283105021</v>
      </c>
      <c r="H72">
        <v>6.7584480600750937E-2</v>
      </c>
      <c r="I72">
        <v>7.2972972972972977E-2</v>
      </c>
    </row>
    <row r="73" spans="1:9" x14ac:dyDescent="0.35">
      <c r="A73">
        <v>0.62325853007424714</v>
      </c>
      <c r="B73">
        <v>0.76163043478260872</v>
      </c>
      <c r="H73">
        <v>3.6248710010319915E-2</v>
      </c>
      <c r="I73">
        <v>3.1379596350566766E-2</v>
      </c>
    </row>
    <row r="74" spans="1:9" x14ac:dyDescent="0.35">
      <c r="A74">
        <v>0.76676217765042975</v>
      </c>
      <c r="B74">
        <v>0.90710253998118529</v>
      </c>
      <c r="H74">
        <v>4.2004773269689738E-2</v>
      </c>
      <c r="I74">
        <v>2.4285352896534277E-2</v>
      </c>
    </row>
    <row r="75" spans="1:9" x14ac:dyDescent="0.35">
      <c r="A75">
        <v>0.68302346845473938</v>
      </c>
      <c r="B75">
        <v>0.77781969068276124</v>
      </c>
      <c r="H75">
        <v>6.6638900458142442E-2</v>
      </c>
      <c r="I75">
        <v>7.2007200720072009E-2</v>
      </c>
    </row>
    <row r="76" spans="1:9" x14ac:dyDescent="0.35">
      <c r="A76">
        <v>0.78140703517587939</v>
      </c>
      <c r="B76">
        <v>0.84825556956704495</v>
      </c>
      <c r="H76">
        <v>4.0123456790123455E-2</v>
      </c>
      <c r="I76">
        <v>4.1178333861260692E-2</v>
      </c>
    </row>
    <row r="77" spans="1:9" x14ac:dyDescent="0.35">
      <c r="A77">
        <v>0.70796074154852784</v>
      </c>
      <c r="B77">
        <v>0.83929051330287552</v>
      </c>
      <c r="H77">
        <v>4.4169611307420496E-2</v>
      </c>
      <c r="I77">
        <v>4.5829514207149404E-2</v>
      </c>
    </row>
    <row r="78" spans="1:9" x14ac:dyDescent="0.35">
      <c r="A78">
        <v>0.82303921568627447</v>
      </c>
      <c r="B78">
        <v>0.89457831325301207</v>
      </c>
      <c r="H78">
        <v>2.7512308137851143E-2</v>
      </c>
      <c r="I78">
        <v>2.5067144136078783E-2</v>
      </c>
    </row>
    <row r="79" spans="1:9" x14ac:dyDescent="0.35">
      <c r="A79">
        <v>0.77572601010101006</v>
      </c>
      <c r="B79">
        <v>0.8594174054640854</v>
      </c>
      <c r="H79">
        <v>4.3402101985208254E-2</v>
      </c>
      <c r="I79">
        <v>2.8828460437538336E-2</v>
      </c>
    </row>
    <row r="80" spans="1:9" x14ac:dyDescent="0.35">
      <c r="A80">
        <v>0.6391773569537772</v>
      </c>
      <c r="B80">
        <v>0.69595645412130636</v>
      </c>
      <c r="H80">
        <v>7.7578607111372322E-2</v>
      </c>
      <c r="I80">
        <v>8.673469387755102E-2</v>
      </c>
    </row>
    <row r="81" spans="1:9" x14ac:dyDescent="0.35">
      <c r="A81">
        <v>0.77521890368237978</v>
      </c>
      <c r="B81">
        <v>0.87070399113082042</v>
      </c>
      <c r="H81">
        <v>3.1760299625468162E-2</v>
      </c>
      <c r="I81">
        <v>3.0251582034264549E-2</v>
      </c>
    </row>
    <row r="82" spans="1:9" x14ac:dyDescent="0.35">
      <c r="A82">
        <v>0.74892189746046955</v>
      </c>
      <c r="B82">
        <v>0.85097813578826242</v>
      </c>
      <c r="H82">
        <v>4.7822113920194941E-2</v>
      </c>
      <c r="I82">
        <v>4.4882144010332581E-2</v>
      </c>
    </row>
    <row r="83" spans="1:9" x14ac:dyDescent="0.35">
      <c r="A83">
        <v>0.72009029345372455</v>
      </c>
      <c r="B83">
        <v>0.85987482614742694</v>
      </c>
      <c r="H83">
        <v>4.4910179640718563E-2</v>
      </c>
      <c r="I83">
        <v>4.627844195912071E-2</v>
      </c>
    </row>
    <row r="84" spans="1:9" x14ac:dyDescent="0.35">
      <c r="A84">
        <v>0.64741035856573703</v>
      </c>
      <c r="B84">
        <v>0.7672323171647395</v>
      </c>
      <c r="H84">
        <v>5.5394084458881859E-2</v>
      </c>
      <c r="I84">
        <v>4.647256438969765E-2</v>
      </c>
    </row>
    <row r="85" spans="1:9" x14ac:dyDescent="0.35">
      <c r="A85">
        <v>0.84719789842381787</v>
      </c>
      <c r="B85">
        <v>0.89943342776203961</v>
      </c>
      <c r="H85">
        <v>3.4431137724550899E-2</v>
      </c>
      <c r="I85">
        <v>3.2667569397427217E-2</v>
      </c>
    </row>
    <row r="86" spans="1:9" x14ac:dyDescent="0.35">
      <c r="A86">
        <v>0.81775429326287974</v>
      </c>
      <c r="B86">
        <v>0.88442358462892345</v>
      </c>
      <c r="H86">
        <v>4.2030331166821415E-2</v>
      </c>
      <c r="I86">
        <v>4.2553191489361701E-2</v>
      </c>
    </row>
    <row r="87" spans="1:9" x14ac:dyDescent="0.35">
      <c r="A87">
        <v>0.6811594202898551</v>
      </c>
      <c r="B87">
        <v>0.85023369233895552</v>
      </c>
      <c r="H87">
        <v>2.7445001089087345E-2</v>
      </c>
      <c r="I87">
        <v>2.923433874709977E-2</v>
      </c>
    </row>
    <row r="88" spans="1:9" x14ac:dyDescent="0.35">
      <c r="A88">
        <v>0.79230769230769227</v>
      </c>
      <c r="B88">
        <v>0.86366181410974241</v>
      </c>
      <c r="H88">
        <v>5.1953364696256901E-2</v>
      </c>
      <c r="I88">
        <v>4.6367851622874809E-2</v>
      </c>
    </row>
    <row r="89" spans="1:9" x14ac:dyDescent="0.35">
      <c r="A89">
        <v>0.51206322795341097</v>
      </c>
      <c r="B89">
        <v>0.64299964792864683</v>
      </c>
      <c r="H89">
        <v>7.0300207690855307E-2</v>
      </c>
      <c r="I89">
        <v>3.7590022835060598E-2</v>
      </c>
    </row>
    <row r="90" spans="1:9" x14ac:dyDescent="0.35">
      <c r="A90">
        <v>0.78940681330898121</v>
      </c>
      <c r="B90">
        <v>0.8803983703033047</v>
      </c>
      <c r="H90">
        <v>5.3418396495905539E-2</v>
      </c>
      <c r="I90">
        <v>4.9555273189326558E-2</v>
      </c>
    </row>
    <row r="91" spans="1:9" x14ac:dyDescent="0.35">
      <c r="A91">
        <v>0.70284608215642697</v>
      </c>
      <c r="B91">
        <v>0.81134898710865566</v>
      </c>
      <c r="H91">
        <v>4.3605501902253437E-2</v>
      </c>
      <c r="I91">
        <v>4.1506611823095486E-2</v>
      </c>
    </row>
    <row r="92" spans="1:9" x14ac:dyDescent="0.35">
      <c r="A92">
        <v>0.76008089737709017</v>
      </c>
      <c r="B92">
        <v>0.84800636420616171</v>
      </c>
      <c r="H92">
        <v>5.9541315171684338E-2</v>
      </c>
      <c r="I92">
        <v>5.488984416980118E-2</v>
      </c>
    </row>
    <row r="93" spans="1:9" x14ac:dyDescent="0.35">
      <c r="A93">
        <v>0.78251599147121531</v>
      </c>
      <c r="B93">
        <v>0.92802056555269918</v>
      </c>
      <c r="H93">
        <v>0</v>
      </c>
      <c r="I93">
        <v>0</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F0F-CF34-44F0-BFCE-4F17DB3AB123}">
  <dimension ref="A1:M93"/>
  <sheetViews>
    <sheetView tabSelected="1" topLeftCell="D1" workbookViewId="0">
      <selection activeCell="K31" sqref="K31"/>
    </sheetView>
  </sheetViews>
  <sheetFormatPr defaultRowHeight="14.5" x14ac:dyDescent="0.35"/>
  <cols>
    <col min="1" max="1" width="14.08984375" bestFit="1" customWidth="1"/>
    <col min="2" max="2" width="15.36328125" bestFit="1" customWidth="1"/>
    <col min="4" max="4" width="41.90625" bestFit="1" customWidth="1"/>
    <col min="5" max="5" width="14.7265625" bestFit="1" customWidth="1"/>
    <col min="6" max="6" width="16" bestFit="1" customWidth="1"/>
    <col min="8" max="8" width="25.7265625" bestFit="1" customWidth="1"/>
    <col min="9" max="9" width="27.7265625" bestFit="1" customWidth="1"/>
    <col min="11" max="11" width="41.90625" bestFit="1" customWidth="1"/>
    <col min="12" max="12" width="25.81640625" bestFit="1" customWidth="1"/>
    <col min="13" max="13" width="27.81640625" bestFit="1" customWidth="1"/>
  </cols>
  <sheetData>
    <row r="1" spans="1:13" x14ac:dyDescent="0.35">
      <c r="A1" t="s">
        <v>101</v>
      </c>
      <c r="B1" t="s">
        <v>94</v>
      </c>
      <c r="D1" t="s">
        <v>344</v>
      </c>
      <c r="H1" t="s">
        <v>100</v>
      </c>
      <c r="I1" t="s">
        <v>91</v>
      </c>
      <c r="K1" t="s">
        <v>344</v>
      </c>
    </row>
    <row r="2" spans="1:13" ht="15" thickBot="1" x14ac:dyDescent="0.4">
      <c r="A2">
        <v>0.25840451915128132</v>
      </c>
      <c r="B2">
        <v>0.12447348061549042</v>
      </c>
      <c r="H2">
        <v>0.74021769082391842</v>
      </c>
      <c r="I2">
        <v>0.87380727241468237</v>
      </c>
    </row>
    <row r="3" spans="1:13" x14ac:dyDescent="0.35">
      <c r="A3">
        <v>0.29385439143290976</v>
      </c>
      <c r="B3">
        <v>0.14953669187346896</v>
      </c>
      <c r="D3" s="40"/>
      <c r="E3" s="40" t="s">
        <v>101</v>
      </c>
      <c r="F3" s="40" t="s">
        <v>94</v>
      </c>
      <c r="H3">
        <v>0.70614560856709019</v>
      </c>
      <c r="I3">
        <v>0.85046330812653104</v>
      </c>
      <c r="K3" s="40"/>
      <c r="L3" s="40" t="s">
        <v>100</v>
      </c>
      <c r="M3" s="40" t="s">
        <v>91</v>
      </c>
    </row>
    <row r="4" spans="1:13" x14ac:dyDescent="0.35">
      <c r="A4">
        <v>0.35844645550527904</v>
      </c>
      <c r="B4">
        <v>0.16342119419042497</v>
      </c>
      <c r="D4" t="s">
        <v>347</v>
      </c>
      <c r="E4">
        <v>0.25547562194369083</v>
      </c>
      <c r="F4">
        <v>0.13865868983514171</v>
      </c>
      <c r="H4">
        <v>0.64155354449472102</v>
      </c>
      <c r="I4">
        <v>0.836578805809575</v>
      </c>
      <c r="K4" t="s">
        <v>347</v>
      </c>
      <c r="L4">
        <v>0.74170567383718333</v>
      </c>
      <c r="M4">
        <v>0.85881292380877927</v>
      </c>
    </row>
    <row r="5" spans="1:13" x14ac:dyDescent="0.35">
      <c r="A5">
        <v>0.21538986133212093</v>
      </c>
      <c r="B5">
        <v>0.13247470101195952</v>
      </c>
      <c r="D5" t="s">
        <v>348</v>
      </c>
      <c r="E5">
        <v>4.9851683806549259E-3</v>
      </c>
      <c r="F5">
        <v>2.2988033899416049E-3</v>
      </c>
      <c r="H5">
        <v>0.7846101386678791</v>
      </c>
      <c r="I5">
        <v>0.86752529898804043</v>
      </c>
      <c r="K5" t="s">
        <v>348</v>
      </c>
      <c r="L5">
        <v>4.969281011872515E-3</v>
      </c>
      <c r="M5">
        <v>2.362342410083121E-3</v>
      </c>
    </row>
    <row r="6" spans="1:13" x14ac:dyDescent="0.35">
      <c r="A6">
        <v>0.21307061036074543</v>
      </c>
      <c r="B6">
        <v>0.11323293484448585</v>
      </c>
      <c r="D6" t="s">
        <v>349</v>
      </c>
      <c r="E6">
        <v>92</v>
      </c>
      <c r="F6">
        <v>92</v>
      </c>
      <c r="H6">
        <v>0.78564711916566932</v>
      </c>
      <c r="I6">
        <v>0.88521451120426431</v>
      </c>
      <c r="K6" t="s">
        <v>349</v>
      </c>
      <c r="L6">
        <v>92</v>
      </c>
      <c r="M6">
        <v>92</v>
      </c>
    </row>
    <row r="7" spans="1:13" x14ac:dyDescent="0.35">
      <c r="A7">
        <v>0.22777595807402554</v>
      </c>
      <c r="B7">
        <v>0.10392517387481014</v>
      </c>
      <c r="D7" t="s">
        <v>350</v>
      </c>
      <c r="E7">
        <v>0</v>
      </c>
      <c r="H7">
        <v>0.7716344579102522</v>
      </c>
      <c r="I7">
        <v>0.89535534415221041</v>
      </c>
      <c r="K7" t="s">
        <v>350</v>
      </c>
      <c r="L7">
        <v>0</v>
      </c>
    </row>
    <row r="8" spans="1:13" x14ac:dyDescent="0.35">
      <c r="A8">
        <v>0.2470509681727131</v>
      </c>
      <c r="B8">
        <v>0.14231805929919136</v>
      </c>
      <c r="D8" t="s">
        <v>351</v>
      </c>
      <c r="E8">
        <v>160</v>
      </c>
      <c r="H8">
        <v>0.7529490318272869</v>
      </c>
      <c r="I8">
        <v>0.85768194070080861</v>
      </c>
      <c r="K8" t="s">
        <v>351</v>
      </c>
      <c r="L8">
        <v>162</v>
      </c>
    </row>
    <row r="9" spans="1:13" x14ac:dyDescent="0.35">
      <c r="A9">
        <v>0.26552217453505006</v>
      </c>
      <c r="B9">
        <v>0.11705273533760473</v>
      </c>
      <c r="D9" t="s">
        <v>352</v>
      </c>
      <c r="E9">
        <v>13.12851434745771</v>
      </c>
      <c r="H9">
        <v>0.72999523128278498</v>
      </c>
      <c r="I9">
        <v>0.87715623459832426</v>
      </c>
      <c r="K9" t="s">
        <v>352</v>
      </c>
      <c r="L9">
        <v>-13.11830189610391</v>
      </c>
    </row>
    <row r="10" spans="1:13" x14ac:dyDescent="0.35">
      <c r="A10">
        <v>0.19751291989664083</v>
      </c>
      <c r="B10">
        <v>0.12214507582678603</v>
      </c>
      <c r="D10" t="s">
        <v>353</v>
      </c>
      <c r="E10">
        <v>1.7354965551663206E-27</v>
      </c>
      <c r="H10">
        <v>0.80248708010335912</v>
      </c>
      <c r="I10">
        <v>0.87785492417321398</v>
      </c>
      <c r="K10" t="s">
        <v>353</v>
      </c>
      <c r="L10">
        <v>1.4957835678502549E-27</v>
      </c>
    </row>
    <row r="11" spans="1:13" x14ac:dyDescent="0.35">
      <c r="A11">
        <v>0.27865803764040764</v>
      </c>
      <c r="B11">
        <v>0.12564779505231249</v>
      </c>
      <c r="D11" t="s">
        <v>354</v>
      </c>
      <c r="E11">
        <v>1.6544329014573194</v>
      </c>
      <c r="H11">
        <v>0.7169530610726772</v>
      </c>
      <c r="I11">
        <v>0.86858316221765919</v>
      </c>
      <c r="K11" t="s">
        <v>354</v>
      </c>
      <c r="L11">
        <v>1.6543139565269314</v>
      </c>
    </row>
    <row r="12" spans="1:13" x14ac:dyDescent="0.35">
      <c r="A12">
        <v>0.14685799109351805</v>
      </c>
      <c r="B12">
        <v>7.0135001646361536E-2</v>
      </c>
      <c r="D12" t="s">
        <v>355</v>
      </c>
      <c r="E12">
        <v>3.4709931103326411E-27</v>
      </c>
      <c r="H12">
        <v>0.85314200890648195</v>
      </c>
      <c r="I12">
        <v>0.92986499835363845</v>
      </c>
      <c r="K12" t="s">
        <v>355</v>
      </c>
      <c r="L12">
        <v>2.9915671357005098E-27</v>
      </c>
    </row>
    <row r="13" spans="1:13" ht="15" thickBot="1" x14ac:dyDescent="0.4">
      <c r="A13">
        <v>0.14659502394580073</v>
      </c>
      <c r="B13">
        <v>7.6958224543080933E-2</v>
      </c>
      <c r="D13" s="39" t="s">
        <v>356</v>
      </c>
      <c r="E13" s="39">
        <v>1.974901560000798</v>
      </c>
      <c r="F13" s="39"/>
      <c r="H13">
        <v>0.85176965307791142</v>
      </c>
      <c r="I13">
        <v>0.92121409921671016</v>
      </c>
      <c r="K13" s="39" t="s">
        <v>356</v>
      </c>
      <c r="L13" s="39">
        <v>1.9747157859237898</v>
      </c>
      <c r="M13" s="39"/>
    </row>
    <row r="14" spans="1:13" x14ac:dyDescent="0.35">
      <c r="A14">
        <v>0.19652578139335738</v>
      </c>
      <c r="B14">
        <v>0.13422209813638583</v>
      </c>
      <c r="H14">
        <v>0.80347421860664259</v>
      </c>
      <c r="I14">
        <v>0.86577790186361414</v>
      </c>
    </row>
    <row r="15" spans="1:13" x14ac:dyDescent="0.35">
      <c r="A15">
        <v>0.17233193050609691</v>
      </c>
      <c r="B15">
        <v>0.1014689989192651</v>
      </c>
      <c r="H15">
        <v>0.82637315204489048</v>
      </c>
      <c r="I15">
        <v>0.89709002121442583</v>
      </c>
    </row>
    <row r="16" spans="1:13" x14ac:dyDescent="0.35">
      <c r="A16">
        <v>0.30274450627180988</v>
      </c>
      <c r="B16">
        <v>0.15780752071383047</v>
      </c>
      <c r="H16">
        <v>0.69725549372819018</v>
      </c>
      <c r="I16">
        <v>0.84219247928616958</v>
      </c>
    </row>
    <row r="17" spans="1:9" x14ac:dyDescent="0.35">
      <c r="A17">
        <v>0.15916503587736464</v>
      </c>
      <c r="B17">
        <v>9.4205209994683681E-2</v>
      </c>
      <c r="H17">
        <v>0.83459137079489332</v>
      </c>
      <c r="I17">
        <v>0.90579479000531637</v>
      </c>
    </row>
    <row r="18" spans="1:9" x14ac:dyDescent="0.35">
      <c r="A18">
        <v>0.21137135016729652</v>
      </c>
      <c r="B18">
        <v>0.10346331675826573</v>
      </c>
      <c r="H18">
        <v>0.78735286329826926</v>
      </c>
      <c r="I18">
        <v>0.89499549274477308</v>
      </c>
    </row>
    <row r="19" spans="1:9" x14ac:dyDescent="0.35">
      <c r="A19">
        <v>0.19791479417580443</v>
      </c>
      <c r="B19">
        <v>0.13398758261566193</v>
      </c>
      <c r="H19">
        <v>0.80028761459644082</v>
      </c>
      <c r="I19">
        <v>0.86400961345884242</v>
      </c>
    </row>
    <row r="20" spans="1:9" x14ac:dyDescent="0.35">
      <c r="A20">
        <v>0.33354995938261578</v>
      </c>
      <c r="B20">
        <v>0.23152217339192968</v>
      </c>
      <c r="H20">
        <v>0.65913891145410231</v>
      </c>
      <c r="I20">
        <v>0.75948861366360365</v>
      </c>
    </row>
    <row r="21" spans="1:9" x14ac:dyDescent="0.35">
      <c r="A21">
        <v>0.38794360719494408</v>
      </c>
      <c r="B21">
        <v>0.22526869927615706</v>
      </c>
      <c r="H21">
        <v>0.60411602657591967</v>
      </c>
      <c r="I21">
        <v>0.76398332967756089</v>
      </c>
    </row>
    <row r="22" spans="1:9" x14ac:dyDescent="0.35">
      <c r="A22">
        <v>0.27206967011593475</v>
      </c>
      <c r="B22">
        <v>0.1450721334297842</v>
      </c>
      <c r="H22">
        <v>0.72308969918157284</v>
      </c>
      <c r="I22">
        <v>0.85135190467741273</v>
      </c>
    </row>
    <row r="23" spans="1:9" x14ac:dyDescent="0.35">
      <c r="A23">
        <v>0.3052144705688013</v>
      </c>
      <c r="B23">
        <v>0.16803384483005879</v>
      </c>
      <c r="H23">
        <v>0.6940697098177413</v>
      </c>
      <c r="I23">
        <v>0.83103398824035568</v>
      </c>
    </row>
    <row r="24" spans="1:9" x14ac:dyDescent="0.35">
      <c r="A24">
        <v>0.23236187803474626</v>
      </c>
      <c r="B24">
        <v>0.12576033147441071</v>
      </c>
      <c r="H24">
        <v>0.76601286076256048</v>
      </c>
      <c r="I24">
        <v>0.872300446864122</v>
      </c>
    </row>
    <row r="25" spans="1:9" x14ac:dyDescent="0.35">
      <c r="A25">
        <v>0.30411796832332061</v>
      </c>
      <c r="B25">
        <v>0.17445211248873191</v>
      </c>
      <c r="H25">
        <v>0.6953140360458766</v>
      </c>
      <c r="I25">
        <v>0.82477944110301615</v>
      </c>
    </row>
    <row r="26" spans="1:9" x14ac:dyDescent="0.35">
      <c r="A26">
        <v>0.27785483125288951</v>
      </c>
      <c r="B26">
        <v>0.1440713683618994</v>
      </c>
      <c r="H26">
        <v>0.72119851176716643</v>
      </c>
      <c r="I26">
        <v>0.85472042708626017</v>
      </c>
    </row>
    <row r="27" spans="1:9" x14ac:dyDescent="0.35">
      <c r="A27">
        <v>0.22365627444407196</v>
      </c>
      <c r="B27">
        <v>0.10923729735610924</v>
      </c>
      <c r="H27">
        <v>0.77514806123589231</v>
      </c>
      <c r="I27">
        <v>0.88930747470351434</v>
      </c>
    </row>
    <row r="28" spans="1:9" x14ac:dyDescent="0.35">
      <c r="A28">
        <v>0.20310997784558793</v>
      </c>
      <c r="B28">
        <v>0.10637775458842305</v>
      </c>
      <c r="H28">
        <v>0.79458052919784306</v>
      </c>
      <c r="I28">
        <v>0.89173163096188079</v>
      </c>
    </row>
    <row r="29" spans="1:9" x14ac:dyDescent="0.35">
      <c r="A29">
        <v>0.32600124507159162</v>
      </c>
      <c r="B29">
        <v>0.15691788526434194</v>
      </c>
      <c r="H29">
        <v>0.67399875492840844</v>
      </c>
      <c r="I29">
        <v>0.84308211473565808</v>
      </c>
    </row>
    <row r="30" spans="1:9" x14ac:dyDescent="0.35">
      <c r="A30">
        <v>0.26159466327827191</v>
      </c>
      <c r="B30">
        <v>0.1240508926739175</v>
      </c>
      <c r="H30">
        <v>0.73840533672172803</v>
      </c>
      <c r="I30">
        <v>0.87594910732608244</v>
      </c>
    </row>
    <row r="31" spans="1:9" x14ac:dyDescent="0.35">
      <c r="A31">
        <v>0.2401142463190033</v>
      </c>
      <c r="B31">
        <v>0.11068632805388677</v>
      </c>
      <c r="H31">
        <v>0.75904860392967943</v>
      </c>
      <c r="I31">
        <v>0.88828205594999698</v>
      </c>
    </row>
    <row r="32" spans="1:9" x14ac:dyDescent="0.35">
      <c r="A32">
        <v>0.31707549871146323</v>
      </c>
      <c r="B32">
        <v>0.13819159836065573</v>
      </c>
      <c r="H32">
        <v>0.68292450128853677</v>
      </c>
      <c r="I32">
        <v>0.86180840163934425</v>
      </c>
    </row>
    <row r="33" spans="1:9" x14ac:dyDescent="0.35">
      <c r="A33">
        <v>0.24274606485871419</v>
      </c>
      <c r="B33">
        <v>0.15442601766099504</v>
      </c>
      <c r="H33">
        <v>0.74587521335103357</v>
      </c>
      <c r="I33">
        <v>0.83265130303682966</v>
      </c>
    </row>
    <row r="34" spans="1:9" x14ac:dyDescent="0.35">
      <c r="A34">
        <v>0.32233394703299817</v>
      </c>
      <c r="B34">
        <v>0.22334004024144868</v>
      </c>
      <c r="H34">
        <v>0.67766605296700189</v>
      </c>
      <c r="I34">
        <v>0.77665995975855129</v>
      </c>
    </row>
    <row r="35" spans="1:9" x14ac:dyDescent="0.35">
      <c r="A35">
        <v>0.20009857072449483</v>
      </c>
      <c r="B35">
        <v>0.10098665118978525</v>
      </c>
      <c r="H35">
        <v>0.79990142927550523</v>
      </c>
      <c r="I35">
        <v>0.89901334881021477</v>
      </c>
    </row>
    <row r="36" spans="1:9" x14ac:dyDescent="0.35">
      <c r="A36">
        <v>0.23737501050331905</v>
      </c>
      <c r="B36">
        <v>0.11805128205128206</v>
      </c>
      <c r="H36">
        <v>0.76094445844886982</v>
      </c>
      <c r="I36">
        <v>0.87989743589743585</v>
      </c>
    </row>
    <row r="37" spans="1:9" x14ac:dyDescent="0.35">
      <c r="A37">
        <v>0.33092250922509225</v>
      </c>
      <c r="B37">
        <v>0.1998076923076923</v>
      </c>
      <c r="H37">
        <v>0.66671586715867159</v>
      </c>
      <c r="I37">
        <v>0.79711538461538467</v>
      </c>
    </row>
    <row r="38" spans="1:9" x14ac:dyDescent="0.35">
      <c r="A38">
        <v>0.2416946053032612</v>
      </c>
      <c r="B38">
        <v>0.12900792153904186</v>
      </c>
      <c r="H38">
        <v>0.73178908869247183</v>
      </c>
      <c r="I38">
        <v>0.83817427385892118</v>
      </c>
    </row>
    <row r="39" spans="1:9" x14ac:dyDescent="0.35">
      <c r="A39">
        <v>0.15666041275797374</v>
      </c>
      <c r="B39">
        <v>5.3215077605321508E-2</v>
      </c>
      <c r="H39">
        <v>0.84333958724202629</v>
      </c>
      <c r="I39">
        <v>0.94678492239467849</v>
      </c>
    </row>
    <row r="40" spans="1:9" x14ac:dyDescent="0.35">
      <c r="A40">
        <v>0.20209723546234509</v>
      </c>
      <c r="B40">
        <v>0.12274821952241308</v>
      </c>
      <c r="H40">
        <v>0.73625675246266287</v>
      </c>
      <c r="I40">
        <v>0.87180561374109766</v>
      </c>
    </row>
    <row r="41" spans="1:9" x14ac:dyDescent="0.35">
      <c r="A41">
        <v>0.38482843514386827</v>
      </c>
      <c r="B41">
        <v>0.23300560312929486</v>
      </c>
      <c r="H41">
        <v>0.6138636713340514</v>
      </c>
      <c r="I41">
        <v>0.76519716671952642</v>
      </c>
    </row>
    <row r="42" spans="1:9" x14ac:dyDescent="0.35">
      <c r="A42">
        <v>0.3355116978172788</v>
      </c>
      <c r="B42">
        <v>0.17305976806422838</v>
      </c>
      <c r="H42">
        <v>0.66448830218272126</v>
      </c>
      <c r="I42">
        <v>0.8269402319357716</v>
      </c>
    </row>
    <row r="43" spans="1:9" x14ac:dyDescent="0.35">
      <c r="A43">
        <v>0.25918649494287999</v>
      </c>
      <c r="B43">
        <v>0.13528048215113583</v>
      </c>
      <c r="H43">
        <v>0.73979480462781055</v>
      </c>
      <c r="I43">
        <v>0.86342141863699584</v>
      </c>
    </row>
    <row r="44" spans="1:9" x14ac:dyDescent="0.35">
      <c r="A44">
        <v>0.29384141647421091</v>
      </c>
      <c r="B44">
        <v>0.17835886427944189</v>
      </c>
      <c r="H44">
        <v>0.70354118552732869</v>
      </c>
      <c r="I44">
        <v>0.81832373890135623</v>
      </c>
    </row>
    <row r="45" spans="1:9" x14ac:dyDescent="0.35">
      <c r="A45">
        <v>0.26424131835547698</v>
      </c>
      <c r="B45">
        <v>0.1512458006718925</v>
      </c>
      <c r="H45">
        <v>0.73575868164452296</v>
      </c>
      <c r="I45">
        <v>0.84875419932810747</v>
      </c>
    </row>
    <row r="46" spans="1:9" x14ac:dyDescent="0.35">
      <c r="A46">
        <v>0.31720680811377944</v>
      </c>
      <c r="B46">
        <v>0.15001575795776867</v>
      </c>
      <c r="H46">
        <v>0.68279319188622056</v>
      </c>
      <c r="I46">
        <v>0.84998424204223133</v>
      </c>
    </row>
    <row r="47" spans="1:9" x14ac:dyDescent="0.35">
      <c r="A47">
        <v>0.26132345512712579</v>
      </c>
      <c r="B47">
        <v>0.12995836072759151</v>
      </c>
      <c r="H47">
        <v>0.73867654487287426</v>
      </c>
      <c r="I47">
        <v>0.87004163927240852</v>
      </c>
    </row>
    <row r="48" spans="1:9" x14ac:dyDescent="0.35">
      <c r="A48">
        <v>0.3460087370929309</v>
      </c>
      <c r="B48">
        <v>0.20480488452349349</v>
      </c>
      <c r="H48">
        <v>0.64634630659253378</v>
      </c>
      <c r="I48">
        <v>0.78497478099283247</v>
      </c>
    </row>
    <row r="49" spans="1:9" x14ac:dyDescent="0.35">
      <c r="A49">
        <v>0.30253431890179516</v>
      </c>
      <c r="B49">
        <v>0.12821391840932464</v>
      </c>
      <c r="H49">
        <v>0.6876979936642027</v>
      </c>
      <c r="I49">
        <v>0.85910181693520737</v>
      </c>
    </row>
    <row r="50" spans="1:9" x14ac:dyDescent="0.35">
      <c r="A50">
        <v>0.22248864853833988</v>
      </c>
      <c r="B50">
        <v>0.13477566944493705</v>
      </c>
      <c r="H50">
        <v>0.77511351461660116</v>
      </c>
      <c r="I50">
        <v>0.86244606017615422</v>
      </c>
    </row>
    <row r="51" spans="1:9" x14ac:dyDescent="0.35">
      <c r="A51">
        <v>0.32290664100096245</v>
      </c>
      <c r="B51">
        <v>0.13892983490566038</v>
      </c>
      <c r="H51">
        <v>0.67709335899903755</v>
      </c>
      <c r="I51">
        <v>0.86107016509433965</v>
      </c>
    </row>
    <row r="52" spans="1:9" x14ac:dyDescent="0.35">
      <c r="A52">
        <v>0.12784568372803667</v>
      </c>
      <c r="B52">
        <v>8.5232377685207875E-2</v>
      </c>
      <c r="H52">
        <v>0.87215431627196338</v>
      </c>
      <c r="I52">
        <v>0.91476762231479214</v>
      </c>
    </row>
    <row r="53" spans="1:9" x14ac:dyDescent="0.35">
      <c r="A53">
        <v>0.19343891402714933</v>
      </c>
      <c r="B53">
        <v>0.1037344398340249</v>
      </c>
      <c r="H53">
        <v>0.8065610859728507</v>
      </c>
      <c r="I53">
        <v>0.89626556016597514</v>
      </c>
    </row>
    <row r="54" spans="1:9" x14ac:dyDescent="0.35">
      <c r="A54">
        <v>0.30405590572759661</v>
      </c>
      <c r="B54">
        <v>0.19410656158985781</v>
      </c>
      <c r="H54">
        <v>0.69594409427240345</v>
      </c>
      <c r="I54">
        <v>0.80589343841014216</v>
      </c>
    </row>
    <row r="55" spans="1:9" x14ac:dyDescent="0.35">
      <c r="A55">
        <v>0.38921548753294144</v>
      </c>
      <c r="B55">
        <v>0.12670506214004243</v>
      </c>
      <c r="H55">
        <v>0.61078451246705856</v>
      </c>
      <c r="I55">
        <v>0.8732949378599576</v>
      </c>
    </row>
    <row r="56" spans="1:9" x14ac:dyDescent="0.35">
      <c r="A56">
        <v>0.22874720357941836</v>
      </c>
      <c r="B56">
        <v>0.12281644719161516</v>
      </c>
      <c r="H56">
        <v>0.77125279642058164</v>
      </c>
      <c r="I56">
        <v>0.87718355280838489</v>
      </c>
    </row>
    <row r="57" spans="1:9" x14ac:dyDescent="0.35">
      <c r="A57">
        <v>0.4493376456514997</v>
      </c>
      <c r="B57">
        <v>0.29539112050739957</v>
      </c>
      <c r="H57">
        <v>0.5506623543485003</v>
      </c>
      <c r="I57">
        <v>0.70460887949260043</v>
      </c>
    </row>
    <row r="58" spans="1:9" x14ac:dyDescent="0.35">
      <c r="A58">
        <v>0.28295642581356867</v>
      </c>
      <c r="B58">
        <v>0.17704144549890086</v>
      </c>
      <c r="H58">
        <v>0.71661928804785946</v>
      </c>
      <c r="I58">
        <v>0.82242239022036356</v>
      </c>
    </row>
    <row r="59" spans="1:9" x14ac:dyDescent="0.35">
      <c r="A59">
        <v>0.274571749508565</v>
      </c>
      <c r="B59">
        <v>0.12950170396978908</v>
      </c>
      <c r="H59">
        <v>0.72451558550968831</v>
      </c>
      <c r="I59">
        <v>0.8693009118541033</v>
      </c>
    </row>
    <row r="60" spans="1:9" x14ac:dyDescent="0.35">
      <c r="A60">
        <v>0.36136205698401669</v>
      </c>
      <c r="B60">
        <v>0.1893236074270557</v>
      </c>
      <c r="H60">
        <v>0.63527912902478578</v>
      </c>
      <c r="I60">
        <v>0.80586870026525204</v>
      </c>
    </row>
    <row r="61" spans="1:9" x14ac:dyDescent="0.35">
      <c r="A61">
        <v>0.32388475836431224</v>
      </c>
      <c r="B61">
        <v>0.18262318078204454</v>
      </c>
      <c r="H61">
        <v>0.6761152416356877</v>
      </c>
      <c r="I61">
        <v>0.81737681921795546</v>
      </c>
    </row>
    <row r="62" spans="1:9" x14ac:dyDescent="0.35">
      <c r="A62">
        <v>0.27242393061884462</v>
      </c>
      <c r="B62">
        <v>0.13935814935443033</v>
      </c>
      <c r="H62">
        <v>0.72639129795678381</v>
      </c>
      <c r="I62">
        <v>0.85937963703845621</v>
      </c>
    </row>
    <row r="63" spans="1:9" x14ac:dyDescent="0.35">
      <c r="A63">
        <v>0.20153061224489796</v>
      </c>
      <c r="B63">
        <v>0.13709189842805319</v>
      </c>
      <c r="H63">
        <v>0.79846938775510201</v>
      </c>
      <c r="I63">
        <v>0.86290810157194675</v>
      </c>
    </row>
    <row r="64" spans="1:9" x14ac:dyDescent="0.35">
      <c r="A64">
        <v>0.15663095677872182</v>
      </c>
      <c r="B64">
        <v>0.10490076954232483</v>
      </c>
      <c r="H64">
        <v>0.83228666420391573</v>
      </c>
      <c r="I64">
        <v>0.88294856217091944</v>
      </c>
    </row>
    <row r="65" spans="1:9" x14ac:dyDescent="0.35">
      <c r="A65">
        <v>0.21330724070450097</v>
      </c>
      <c r="B65">
        <v>0.15035081857667892</v>
      </c>
      <c r="H65">
        <v>0.78669275929549898</v>
      </c>
      <c r="I65">
        <v>0.84964918142332113</v>
      </c>
    </row>
    <row r="66" spans="1:9" x14ac:dyDescent="0.35">
      <c r="A66">
        <v>0.24274124679760889</v>
      </c>
      <c r="B66">
        <v>0.14533678756476684</v>
      </c>
      <c r="H66">
        <v>0.75192143467122119</v>
      </c>
      <c r="I66">
        <v>0.84818652849740928</v>
      </c>
    </row>
    <row r="67" spans="1:9" x14ac:dyDescent="0.35">
      <c r="A67">
        <v>0.15751368532579904</v>
      </c>
      <c r="B67">
        <v>9.5256839204880928E-2</v>
      </c>
      <c r="H67">
        <v>0.84248631467420099</v>
      </c>
      <c r="I67">
        <v>0.90474316079511907</v>
      </c>
    </row>
    <row r="68" spans="1:9" x14ac:dyDescent="0.35">
      <c r="A68">
        <v>0.28857275809346539</v>
      </c>
      <c r="B68">
        <v>0.14746118338229122</v>
      </c>
      <c r="H68">
        <v>0.70810343681446519</v>
      </c>
      <c r="I68">
        <v>0.84834242551405792</v>
      </c>
    </row>
    <row r="69" spans="1:9" x14ac:dyDescent="0.35">
      <c r="A69">
        <v>0.23132911392405064</v>
      </c>
      <c r="B69">
        <v>0.12670713201820941</v>
      </c>
      <c r="H69">
        <v>0.76867088607594936</v>
      </c>
      <c r="I69">
        <v>0.87329286798179062</v>
      </c>
    </row>
    <row r="70" spans="1:9" x14ac:dyDescent="0.35">
      <c r="A70">
        <v>0.26983883346124327</v>
      </c>
      <c r="B70">
        <v>0.16996909652790401</v>
      </c>
      <c r="H70">
        <v>0.73016116653875673</v>
      </c>
      <c r="I70">
        <v>0.83003090347209596</v>
      </c>
    </row>
    <row r="71" spans="1:9" x14ac:dyDescent="0.35">
      <c r="A71">
        <v>0.33860342555994732</v>
      </c>
      <c r="B71">
        <v>0.1310344827586207</v>
      </c>
      <c r="H71">
        <v>0.66139657444005273</v>
      </c>
      <c r="I71">
        <v>0.86896551724137927</v>
      </c>
    </row>
    <row r="72" spans="1:9" x14ac:dyDescent="0.35">
      <c r="A72">
        <v>0.3184919822586148</v>
      </c>
      <c r="B72">
        <v>0.15525114155251141</v>
      </c>
      <c r="H72">
        <v>0.68150801774138514</v>
      </c>
      <c r="I72">
        <v>0.84474885844748859</v>
      </c>
    </row>
    <row r="73" spans="1:9" x14ac:dyDescent="0.35">
      <c r="A73">
        <v>0.35271544172853925</v>
      </c>
      <c r="B73">
        <v>0.21293478260869564</v>
      </c>
      <c r="H73">
        <v>0.64670059230833399</v>
      </c>
      <c r="I73">
        <v>0.78630434782608694</v>
      </c>
    </row>
    <row r="74" spans="1:9" x14ac:dyDescent="0.35">
      <c r="A74">
        <v>0.19961795606494748</v>
      </c>
      <c r="B74">
        <v>7.0319849482596425E-2</v>
      </c>
      <c r="H74">
        <v>0.80038204393505252</v>
      </c>
      <c r="I74">
        <v>0.9296801505174036</v>
      </c>
    </row>
    <row r="75" spans="1:9" x14ac:dyDescent="0.35">
      <c r="A75">
        <v>0.2416946053032612</v>
      </c>
      <c r="B75">
        <v>0.12900792153904186</v>
      </c>
      <c r="H75">
        <v>0.73178908869247183</v>
      </c>
      <c r="I75">
        <v>0.83817427385892118</v>
      </c>
    </row>
    <row r="76" spans="1:9" x14ac:dyDescent="0.35">
      <c r="A76">
        <v>0.18592964824120603</v>
      </c>
      <c r="B76">
        <v>0.11531455793750876</v>
      </c>
      <c r="H76">
        <v>0.81407035175879394</v>
      </c>
      <c r="I76">
        <v>0.88468544206249122</v>
      </c>
    </row>
    <row r="77" spans="1:9" x14ac:dyDescent="0.35">
      <c r="A77">
        <v>0.25932388222464559</v>
      </c>
      <c r="B77">
        <v>0.12039774254232734</v>
      </c>
      <c r="H77">
        <v>0.74067611777535447</v>
      </c>
      <c r="I77">
        <v>0.87960225745767262</v>
      </c>
    </row>
    <row r="78" spans="1:9" x14ac:dyDescent="0.35">
      <c r="A78">
        <v>0.1536764705882353</v>
      </c>
      <c r="B78">
        <v>8.2420591456736039E-2</v>
      </c>
      <c r="H78">
        <v>0.8463235294117647</v>
      </c>
      <c r="I78">
        <v>0.91757940854326392</v>
      </c>
    </row>
    <row r="79" spans="1:9" x14ac:dyDescent="0.35">
      <c r="A79">
        <v>0.18907828282828282</v>
      </c>
      <c r="B79">
        <v>0.11507146734213859</v>
      </c>
      <c r="H79">
        <v>0.81092171717171713</v>
      </c>
      <c r="I79">
        <v>0.88492853265786142</v>
      </c>
    </row>
    <row r="80" spans="1:9" x14ac:dyDescent="0.35">
      <c r="A80">
        <v>0.30238240684178375</v>
      </c>
      <c r="B80">
        <v>0.23198548470710212</v>
      </c>
      <c r="H80">
        <v>0.6929342292812054</v>
      </c>
      <c r="I80">
        <v>0.76205287713841363</v>
      </c>
    </row>
    <row r="81" spans="1:9" x14ac:dyDescent="0.35">
      <c r="A81">
        <v>0.1916756627084083</v>
      </c>
      <c r="B81">
        <v>9.3264966740576494E-2</v>
      </c>
      <c r="H81">
        <v>0.80064771500539766</v>
      </c>
      <c r="I81">
        <v>0.89786585365853655</v>
      </c>
    </row>
    <row r="82" spans="1:9" x14ac:dyDescent="0.35">
      <c r="A82">
        <v>0.21346430282702444</v>
      </c>
      <c r="B82">
        <v>0.10903337169159955</v>
      </c>
      <c r="H82">
        <v>0.78653569717297556</v>
      </c>
      <c r="I82">
        <v>0.89096662830840045</v>
      </c>
    </row>
    <row r="83" spans="1:9" x14ac:dyDescent="0.35">
      <c r="A83">
        <v>0.24604966139954854</v>
      </c>
      <c r="B83">
        <v>9.8400556328233663E-2</v>
      </c>
      <c r="H83">
        <v>0.75395033860045146</v>
      </c>
      <c r="I83">
        <v>0.90159944367176637</v>
      </c>
    </row>
    <row r="84" spans="1:9" x14ac:dyDescent="0.35">
      <c r="A84">
        <v>0.31462385751113192</v>
      </c>
      <c r="B84">
        <v>0.19537468088301546</v>
      </c>
      <c r="H84">
        <v>0.68537614248886802</v>
      </c>
      <c r="I84">
        <v>0.80462531911698454</v>
      </c>
    </row>
    <row r="85" spans="1:9" x14ac:dyDescent="0.35">
      <c r="A85">
        <v>0.12259194395796848</v>
      </c>
      <c r="B85">
        <v>7.0192005036197672E-2</v>
      </c>
      <c r="H85">
        <v>0.87740805604203154</v>
      </c>
      <c r="I85">
        <v>0.92980799496380229</v>
      </c>
    </row>
    <row r="86" spans="1:9" x14ac:dyDescent="0.35">
      <c r="A86">
        <v>0.14393659180977542</v>
      </c>
      <c r="B86">
        <v>7.3569961865649749E-2</v>
      </c>
      <c r="H86">
        <v>0.85363276089828266</v>
      </c>
      <c r="I86">
        <v>0.92373129950132005</v>
      </c>
    </row>
    <row r="87" spans="1:9" x14ac:dyDescent="0.35">
      <c r="A87">
        <v>0.29961861174675819</v>
      </c>
      <c r="B87">
        <v>0.12416175574070311</v>
      </c>
      <c r="H87">
        <v>0.70038138825324181</v>
      </c>
      <c r="I87">
        <v>0.87583824425929691</v>
      </c>
    </row>
    <row r="88" spans="1:9" x14ac:dyDescent="0.35">
      <c r="A88">
        <v>0.1623931623931624</v>
      </c>
      <c r="B88">
        <v>9.2291899962672633E-2</v>
      </c>
      <c r="H88">
        <v>0.83572649572649571</v>
      </c>
      <c r="I88">
        <v>0.90565509518477039</v>
      </c>
    </row>
    <row r="89" spans="1:9" x14ac:dyDescent="0.35">
      <c r="A89">
        <v>0.44921658347199112</v>
      </c>
      <c r="B89">
        <v>0.33188592888158669</v>
      </c>
      <c r="H89">
        <v>0.55078341652800888</v>
      </c>
      <c r="I89">
        <v>0.66811407111841337</v>
      </c>
    </row>
    <row r="90" spans="1:9" x14ac:dyDescent="0.35">
      <c r="A90">
        <v>0.16604462796791869</v>
      </c>
      <c r="B90">
        <v>7.3698506111362611E-2</v>
      </c>
      <c r="H90">
        <v>0.83395537203208137</v>
      </c>
      <c r="I90">
        <v>0.92630149388863736</v>
      </c>
    </row>
    <row r="91" spans="1:9" x14ac:dyDescent="0.35">
      <c r="A91">
        <v>0.25688818792267071</v>
      </c>
      <c r="B91">
        <v>0.14882596685082872</v>
      </c>
      <c r="H91">
        <v>0.73489139006380388</v>
      </c>
      <c r="I91">
        <v>0.84648365561694294</v>
      </c>
    </row>
    <row r="92" spans="1:9" x14ac:dyDescent="0.35">
      <c r="A92">
        <v>0.19108877861640466</v>
      </c>
      <c r="B92">
        <v>0.10192372595342558</v>
      </c>
      <c r="H92">
        <v>0.80820232684208326</v>
      </c>
      <c r="I92">
        <v>0.89725664143483919</v>
      </c>
    </row>
    <row r="93" spans="1:9" x14ac:dyDescent="0.35">
      <c r="A93">
        <v>0.21748400852878466</v>
      </c>
      <c r="B93">
        <v>7.1979434447300775E-2</v>
      </c>
      <c r="H93">
        <v>0.78251599147121531</v>
      </c>
      <c r="I93">
        <v>0.92802056555269918</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7744-D234-43B1-9EFF-740DF79E39F5}">
  <dimension ref="A1:AA93"/>
  <sheetViews>
    <sheetView workbookViewId="0">
      <selection activeCell="H20" sqref="H20"/>
    </sheetView>
  </sheetViews>
  <sheetFormatPr defaultRowHeight="14.5" x14ac:dyDescent="0.35"/>
  <cols>
    <col min="1" max="1" width="18.08984375" bestFit="1" customWidth="1"/>
    <col min="2" max="2" width="22" bestFit="1" customWidth="1"/>
    <col min="5" max="5" width="22" bestFit="1" customWidth="1"/>
    <col min="6" max="6" width="12.453125" bestFit="1" customWidth="1"/>
    <col min="7" max="7" width="13.54296875" bestFit="1" customWidth="1"/>
    <col min="9" max="9" width="11.81640625" bestFit="1" customWidth="1"/>
    <col min="10" max="13" width="12.453125" bestFit="1" customWidth="1"/>
    <col min="14" max="14" width="18.08984375" bestFit="1" customWidth="1"/>
    <col min="15" max="15" width="22" bestFit="1" customWidth="1"/>
    <col min="16" max="16" width="24.36328125" bestFit="1" customWidth="1"/>
    <col min="17" max="17" width="27.7265625" bestFit="1" customWidth="1"/>
    <col min="19" max="19" width="27.7265625" bestFit="1" customWidth="1"/>
    <col min="21" max="21" width="13.54296875" bestFit="1" customWidth="1"/>
    <col min="24" max="27" width="12.453125" bestFit="1" customWidth="1"/>
  </cols>
  <sheetData>
    <row r="1" spans="1:24" x14ac:dyDescent="0.35">
      <c r="A1" t="s">
        <v>92</v>
      </c>
      <c r="B1" t="s">
        <v>93</v>
      </c>
      <c r="E1" t="s">
        <v>357</v>
      </c>
      <c r="N1" t="s">
        <v>92</v>
      </c>
      <c r="O1" t="s">
        <v>93</v>
      </c>
      <c r="P1" t="s">
        <v>90</v>
      </c>
      <c r="Q1" t="s">
        <v>91</v>
      </c>
    </row>
    <row r="2" spans="1:24" ht="15" thickBot="1" x14ac:dyDescent="0.4">
      <c r="A2">
        <v>4.1434262948207172E-2</v>
      </c>
      <c r="B2">
        <v>0.82841915241124386</v>
      </c>
      <c r="N2">
        <v>4.1434262948207172E-2</v>
      </c>
      <c r="O2">
        <v>0.82841915241124386</v>
      </c>
      <c r="P2">
        <v>5.1942941465814067E-2</v>
      </c>
      <c r="Q2">
        <v>0.87380727241468237</v>
      </c>
    </row>
    <row r="3" spans="1:24" x14ac:dyDescent="0.35">
      <c r="A3">
        <v>4.9099360836722838E-2</v>
      </c>
      <c r="B3">
        <v>0.82799020129939294</v>
      </c>
      <c r="E3" s="41" t="s">
        <v>358</v>
      </c>
      <c r="F3" s="41"/>
      <c r="N3">
        <v>4.9099360836722838E-2</v>
      </c>
      <c r="O3">
        <v>0.82799020129939294</v>
      </c>
      <c r="P3">
        <v>2.6424546023794616E-2</v>
      </c>
      <c r="Q3">
        <v>0.85046330812653104</v>
      </c>
    </row>
    <row r="4" spans="1:24" x14ac:dyDescent="0.35">
      <c r="A4">
        <v>6.9580218516388723E-2</v>
      </c>
      <c r="B4">
        <v>0.80193652501344814</v>
      </c>
      <c r="E4" t="s">
        <v>359</v>
      </c>
      <c r="F4">
        <v>0.58930488755802912</v>
      </c>
      <c r="N4">
        <v>6.9580218516388723E-2</v>
      </c>
      <c r="O4">
        <v>0.80193652501344814</v>
      </c>
      <c r="P4">
        <v>4.1409465020576131E-2</v>
      </c>
      <c r="Q4">
        <v>0.836578805809575</v>
      </c>
    </row>
    <row r="5" spans="1:24" x14ac:dyDescent="0.35">
      <c r="A5">
        <v>5.8227848101265821E-2</v>
      </c>
      <c r="B5">
        <v>0.83309239059009066</v>
      </c>
      <c r="E5" t="s">
        <v>360</v>
      </c>
      <c r="F5">
        <v>0.34728025049978134</v>
      </c>
      <c r="N5">
        <v>5.8227848101265821E-2</v>
      </c>
      <c r="O5">
        <v>0.83309239059009066</v>
      </c>
      <c r="P5">
        <v>3.9690955915770335E-2</v>
      </c>
      <c r="Q5">
        <v>0.86752529898804043</v>
      </c>
      <c r="S5" t="s">
        <v>357</v>
      </c>
    </row>
    <row r="6" spans="1:24" ht="15" thickBot="1" x14ac:dyDescent="0.4">
      <c r="A6">
        <v>1.8350062735257213E-2</v>
      </c>
      <c r="B6">
        <v>0.86058065517776738</v>
      </c>
      <c r="E6" t="s">
        <v>361</v>
      </c>
      <c r="F6">
        <v>0.34002780883866779</v>
      </c>
      <c r="N6">
        <v>1.8350062735257213E-2</v>
      </c>
      <c r="O6">
        <v>0.86058065517776738</v>
      </c>
      <c r="P6">
        <v>2.782812043262204E-2</v>
      </c>
      <c r="Q6">
        <v>0.88521451120426431</v>
      </c>
    </row>
    <row r="7" spans="1:24" x14ac:dyDescent="0.35">
      <c r="A7">
        <v>2.4691358024691357E-2</v>
      </c>
      <c r="B7">
        <v>0.85554400831401389</v>
      </c>
      <c r="E7" t="s">
        <v>362</v>
      </c>
      <c r="F7">
        <v>4.8443071469103337E-2</v>
      </c>
      <c r="N7">
        <v>2.4691358024691357E-2</v>
      </c>
      <c r="O7">
        <v>0.85554400831401389</v>
      </c>
      <c r="P7">
        <v>4.4464285714285713E-2</v>
      </c>
      <c r="Q7">
        <v>0.89535534415221041</v>
      </c>
      <c r="S7" s="41" t="s">
        <v>358</v>
      </c>
      <c r="T7" s="41"/>
    </row>
    <row r="8" spans="1:24" ht="15" thickBot="1" x14ac:dyDescent="0.4">
      <c r="A8">
        <v>4.8252279635258362E-2</v>
      </c>
      <c r="B8">
        <v>0.81940700808625333</v>
      </c>
      <c r="E8" s="39" t="s">
        <v>349</v>
      </c>
      <c r="F8" s="39">
        <v>92</v>
      </c>
      <c r="N8">
        <v>4.8252279635258362E-2</v>
      </c>
      <c r="O8">
        <v>0.81940700808625333</v>
      </c>
      <c r="P8">
        <v>4.4626021370207415E-2</v>
      </c>
      <c r="Q8">
        <v>0.85768194070080861</v>
      </c>
      <c r="S8" t="s">
        <v>359</v>
      </c>
      <c r="T8">
        <v>0.64800152280235146</v>
      </c>
    </row>
    <row r="9" spans="1:24" x14ac:dyDescent="0.35">
      <c r="A9">
        <v>4.1287188828172436E-2</v>
      </c>
      <c r="B9">
        <v>0.83489403647116811</v>
      </c>
      <c r="N9">
        <v>4.1287188828172436E-2</v>
      </c>
      <c r="O9">
        <v>0.83489403647116811</v>
      </c>
      <c r="P9">
        <v>4.8180924287118974E-2</v>
      </c>
      <c r="Q9">
        <v>0.87715623459832426</v>
      </c>
      <c r="S9" t="s">
        <v>360</v>
      </c>
      <c r="T9">
        <v>0.41990597355416637</v>
      </c>
    </row>
    <row r="10" spans="1:24" ht="15" thickBot="1" x14ac:dyDescent="0.4">
      <c r="A10">
        <v>3.1816830211121021E-2</v>
      </c>
      <c r="B10">
        <v>0.86287228211218714</v>
      </c>
      <c r="E10" t="s">
        <v>363</v>
      </c>
      <c r="N10">
        <v>3.1816830211121021E-2</v>
      </c>
      <c r="O10">
        <v>0.86287228211218714</v>
      </c>
      <c r="P10">
        <v>1.7067332708918723E-2</v>
      </c>
      <c r="Q10">
        <v>0.87785492417321398</v>
      </c>
      <c r="S10" t="s">
        <v>361</v>
      </c>
      <c r="T10">
        <v>0.400130040834422</v>
      </c>
    </row>
    <row r="11" spans="1:24" x14ac:dyDescent="0.35">
      <c r="A11">
        <v>2.6013143483023003E-2</v>
      </c>
      <c r="B11">
        <v>0.84433362667448908</v>
      </c>
      <c r="E11" s="40"/>
      <c r="F11" s="40" t="s">
        <v>351</v>
      </c>
      <c r="G11" s="40" t="s">
        <v>368</v>
      </c>
      <c r="H11" s="40" t="s">
        <v>369</v>
      </c>
      <c r="I11" s="40" t="s">
        <v>370</v>
      </c>
      <c r="J11" s="40" t="s">
        <v>371</v>
      </c>
      <c r="N11">
        <v>2.6013143483023003E-2</v>
      </c>
      <c r="O11">
        <v>0.84433362667448908</v>
      </c>
      <c r="P11">
        <v>2.7918496003602387E-2</v>
      </c>
      <c r="Q11">
        <v>0.86858316221765919</v>
      </c>
      <c r="S11" t="s">
        <v>362</v>
      </c>
      <c r="T11">
        <v>4.6184623735525281E-2</v>
      </c>
    </row>
    <row r="12" spans="1:24" ht="15" thickBot="1" x14ac:dyDescent="0.4">
      <c r="A12">
        <v>1.4015843997562462E-2</v>
      </c>
      <c r="B12">
        <v>0.86873010646471294</v>
      </c>
      <c r="E12" t="s">
        <v>364</v>
      </c>
      <c r="F12">
        <v>1</v>
      </c>
      <c r="G12">
        <v>0.11237227789229851</v>
      </c>
      <c r="H12">
        <v>0.11237227789229851</v>
      </c>
      <c r="I12">
        <v>47.884597591710921</v>
      </c>
      <c r="J12">
        <v>6.4195999874678386E-10</v>
      </c>
      <c r="N12">
        <v>1.4015843997562462E-2</v>
      </c>
      <c r="O12">
        <v>0.86873010646471294</v>
      </c>
      <c r="P12">
        <v>6.5745986779981114E-2</v>
      </c>
      <c r="Q12">
        <v>0.92986499835363845</v>
      </c>
      <c r="S12" s="39" t="s">
        <v>349</v>
      </c>
      <c r="T12" s="39">
        <v>92</v>
      </c>
    </row>
    <row r="13" spans="1:24" x14ac:dyDescent="0.35">
      <c r="A13">
        <v>4.0450121654501216E-2</v>
      </c>
      <c r="B13">
        <v>0.89484334203655358</v>
      </c>
      <c r="E13" t="s">
        <v>365</v>
      </c>
      <c r="F13">
        <v>90</v>
      </c>
      <c r="G13">
        <v>0.21120580560245886</v>
      </c>
      <c r="H13">
        <v>2.3467311733606539E-3</v>
      </c>
      <c r="N13">
        <v>4.0450121654501216E-2</v>
      </c>
      <c r="O13">
        <v>0.89484334203655358</v>
      </c>
      <c r="P13">
        <v>2.8626089421101113E-2</v>
      </c>
      <c r="Q13">
        <v>0.92121409921671016</v>
      </c>
    </row>
    <row r="14" spans="1:24" ht="15" thickBot="1" x14ac:dyDescent="0.4">
      <c r="A14">
        <v>3.474415666456096E-2</v>
      </c>
      <c r="B14">
        <v>0.83485726251134218</v>
      </c>
      <c r="E14" s="39" t="s">
        <v>366</v>
      </c>
      <c r="F14" s="39">
        <v>91</v>
      </c>
      <c r="G14" s="39">
        <v>0.32357808349475736</v>
      </c>
      <c r="H14" s="39"/>
      <c r="I14" s="39"/>
      <c r="J14" s="39"/>
      <c r="N14">
        <v>3.474415666456096E-2</v>
      </c>
      <c r="O14">
        <v>0.83485726251134218</v>
      </c>
      <c r="P14">
        <v>3.5714285714285712E-2</v>
      </c>
      <c r="Q14">
        <v>0.86577790186361414</v>
      </c>
      <c r="S14" t="s">
        <v>363</v>
      </c>
    </row>
    <row r="15" spans="1:24" ht="15" thickBot="1" x14ac:dyDescent="0.4">
      <c r="A15">
        <v>4.0179751519957708E-2</v>
      </c>
      <c r="B15">
        <v>0.85466116959532479</v>
      </c>
      <c r="N15">
        <v>4.0179751519957708E-2</v>
      </c>
      <c r="O15">
        <v>0.85466116959532479</v>
      </c>
      <c r="P15">
        <v>4.7296091379618065E-2</v>
      </c>
      <c r="Q15">
        <v>0.89709002121442583</v>
      </c>
      <c r="S15" s="40"/>
      <c r="T15" s="40" t="s">
        <v>351</v>
      </c>
      <c r="U15" s="40" t="s">
        <v>368</v>
      </c>
      <c r="V15" s="40" t="s">
        <v>369</v>
      </c>
      <c r="W15" s="40" t="s">
        <v>370</v>
      </c>
      <c r="X15" s="40" t="s">
        <v>371</v>
      </c>
    </row>
    <row r="16" spans="1:24" x14ac:dyDescent="0.35">
      <c r="A16">
        <v>2.0083463745435577E-2</v>
      </c>
      <c r="B16">
        <v>0.82383683875079672</v>
      </c>
      <c r="E16" s="40"/>
      <c r="F16" s="40" t="s">
        <v>372</v>
      </c>
      <c r="G16" s="40" t="s">
        <v>362</v>
      </c>
      <c r="H16" s="40" t="s">
        <v>352</v>
      </c>
      <c r="I16" s="40" t="s">
        <v>373</v>
      </c>
      <c r="J16" s="40" t="s">
        <v>374</v>
      </c>
      <c r="K16" s="40" t="s">
        <v>375</v>
      </c>
      <c r="L16" s="40" t="s">
        <v>376</v>
      </c>
      <c r="M16" s="40" t="s">
        <v>377</v>
      </c>
      <c r="N16">
        <v>2.0083463745435577E-2</v>
      </c>
      <c r="O16">
        <v>0.82383683875079672</v>
      </c>
      <c r="P16">
        <v>2.1795065839261388E-2</v>
      </c>
      <c r="Q16">
        <v>0.84219247928616958</v>
      </c>
      <c r="S16" t="s">
        <v>364</v>
      </c>
      <c r="T16">
        <v>3</v>
      </c>
      <c r="U16">
        <v>0.13587237017065742</v>
      </c>
      <c r="V16">
        <v>4.5290790056885806E-2</v>
      </c>
      <c r="W16">
        <v>21.233181741912553</v>
      </c>
      <c r="X16">
        <v>1.9493124919819491E-10</v>
      </c>
    </row>
    <row r="17" spans="1:27" x14ac:dyDescent="0.35">
      <c r="A17">
        <v>2.764797507788162E-2</v>
      </c>
      <c r="B17">
        <v>0.87485380116959066</v>
      </c>
      <c r="E17" t="s">
        <v>367</v>
      </c>
      <c r="F17">
        <v>0.62347140620341013</v>
      </c>
      <c r="G17">
        <v>8.1471351586735213E-2</v>
      </c>
      <c r="H17">
        <v>7.6526459186043603</v>
      </c>
      <c r="I17">
        <v>2.1072224101557855E-11</v>
      </c>
      <c r="J17">
        <v>0.46161434620931741</v>
      </c>
      <c r="K17">
        <v>0.78532846619750285</v>
      </c>
      <c r="L17">
        <v>0.46161434620931741</v>
      </c>
      <c r="M17">
        <v>0.78532846619750285</v>
      </c>
      <c r="N17">
        <v>2.764797507788162E-2</v>
      </c>
      <c r="O17">
        <v>0.87485380116959066</v>
      </c>
      <c r="P17">
        <v>3.415893884258716E-2</v>
      </c>
      <c r="Q17">
        <v>0.90579479000531637</v>
      </c>
      <c r="S17" t="s">
        <v>365</v>
      </c>
      <c r="T17">
        <v>88</v>
      </c>
      <c r="U17">
        <v>0.18770571332409994</v>
      </c>
      <c r="V17">
        <v>2.1330194695920448E-3</v>
      </c>
    </row>
    <row r="18" spans="1:27" ht="15" thickBot="1" x14ac:dyDescent="0.4">
      <c r="A18">
        <v>3.1084154662623199E-2</v>
      </c>
      <c r="B18">
        <v>0.86495681758701914</v>
      </c>
      <c r="E18" s="39" t="s">
        <v>93</v>
      </c>
      <c r="F18" s="39">
        <v>-0.68339130166637985</v>
      </c>
      <c r="G18" s="39">
        <v>9.8757827051770247E-2</v>
      </c>
      <c r="H18" s="39">
        <v>-6.9198697669617264</v>
      </c>
      <c r="I18" s="39">
        <v>6.4195999874678386E-10</v>
      </c>
      <c r="J18" s="39">
        <v>-0.87959096236535805</v>
      </c>
      <c r="K18" s="39">
        <v>-0.48719164096740164</v>
      </c>
      <c r="L18" s="39">
        <v>-0.87959096236535805</v>
      </c>
      <c r="M18" s="39">
        <v>-0.48719164096740164</v>
      </c>
      <c r="N18">
        <v>3.1084154662623199E-2</v>
      </c>
      <c r="O18">
        <v>0.86495681758701914</v>
      </c>
      <c r="P18">
        <v>3.3562934563649359E-2</v>
      </c>
      <c r="Q18">
        <v>0.89499549274477308</v>
      </c>
      <c r="S18" s="39" t="s">
        <v>366</v>
      </c>
      <c r="T18" s="39">
        <v>91</v>
      </c>
      <c r="U18" s="39">
        <v>0.32357808349475736</v>
      </c>
      <c r="V18" s="39"/>
      <c r="W18" s="39"/>
      <c r="X18" s="39"/>
    </row>
    <row r="19" spans="1:27" ht="15" thickBot="1" x14ac:dyDescent="0.4">
      <c r="A19">
        <v>1.4450867052023121E-2</v>
      </c>
      <c r="B19">
        <v>0.83937512517524537</v>
      </c>
      <c r="N19">
        <v>1.4450867052023121E-2</v>
      </c>
      <c r="O19">
        <v>0.83937512517524537</v>
      </c>
      <c r="P19">
        <v>2.851182197496523E-2</v>
      </c>
      <c r="Q19">
        <v>0.86400961345884242</v>
      </c>
    </row>
    <row r="20" spans="1:27" x14ac:dyDescent="0.35">
      <c r="A20">
        <v>3.8947368421052633E-2</v>
      </c>
      <c r="B20">
        <v>0.73312025569316819</v>
      </c>
      <c r="N20">
        <v>3.8947368421052633E-2</v>
      </c>
      <c r="O20">
        <v>0.73312025569316819</v>
      </c>
      <c r="P20">
        <v>3.4718569174118884E-2</v>
      </c>
      <c r="Q20">
        <v>0.75948861366360365</v>
      </c>
      <c r="S20" s="40"/>
      <c r="T20" s="40" t="s">
        <v>372</v>
      </c>
      <c r="U20" s="40" t="s">
        <v>362</v>
      </c>
      <c r="V20" s="40" t="s">
        <v>352</v>
      </c>
      <c r="W20" s="40" t="s">
        <v>373</v>
      </c>
      <c r="X20" s="40" t="s">
        <v>374</v>
      </c>
      <c r="Y20" s="40" t="s">
        <v>375</v>
      </c>
      <c r="Z20" s="40" t="s">
        <v>376</v>
      </c>
      <c r="AA20" s="40" t="s">
        <v>377</v>
      </c>
    </row>
    <row r="21" spans="1:27" x14ac:dyDescent="0.35">
      <c r="A21">
        <v>0.37675606641123882</v>
      </c>
      <c r="B21">
        <v>0.71331432331651679</v>
      </c>
      <c r="N21">
        <v>0.37675606641123882</v>
      </c>
      <c r="O21">
        <v>0.71331432331651679</v>
      </c>
      <c r="P21">
        <v>6.6322136089577946E-2</v>
      </c>
      <c r="Q21">
        <v>0.76398332967756089</v>
      </c>
      <c r="S21" t="s">
        <v>367</v>
      </c>
      <c r="T21">
        <v>-3.3582739201779788E-2</v>
      </c>
      <c r="U21">
        <v>0.22784819279591148</v>
      </c>
      <c r="V21">
        <v>-0.14739085173197125</v>
      </c>
      <c r="W21">
        <v>0.8831606958882976</v>
      </c>
      <c r="X21">
        <v>-0.48638314346519357</v>
      </c>
      <c r="Y21">
        <v>0.41921766506163399</v>
      </c>
      <c r="Z21">
        <v>-0.48638314346519357</v>
      </c>
      <c r="AA21">
        <v>0.41921766506163399</v>
      </c>
    </row>
    <row r="22" spans="1:27" x14ac:dyDescent="0.35">
      <c r="A22">
        <v>3.8237022526934381E-2</v>
      </c>
      <c r="B22">
        <v>0.81493714769268566</v>
      </c>
      <c r="N22">
        <v>3.8237022526934381E-2</v>
      </c>
      <c r="O22">
        <v>0.81493714769268566</v>
      </c>
      <c r="P22">
        <v>4.2772861356932153E-2</v>
      </c>
      <c r="Q22">
        <v>0.85135190467741273</v>
      </c>
      <c r="S22" t="s">
        <v>93</v>
      </c>
      <c r="T22">
        <v>18.752522306727247</v>
      </c>
      <c r="U22">
        <v>5.9482258587239665</v>
      </c>
      <c r="V22">
        <v>3.1526244551093932</v>
      </c>
      <c r="W22">
        <v>2.2130459127566306E-3</v>
      </c>
      <c r="X22">
        <v>6.9316733439584137</v>
      </c>
      <c r="Y22">
        <v>30.573371269496079</v>
      </c>
      <c r="Z22">
        <v>6.9316733439584137</v>
      </c>
      <c r="AA22">
        <v>30.573371269496079</v>
      </c>
    </row>
    <row r="23" spans="1:27" x14ac:dyDescent="0.35">
      <c r="A23">
        <v>0.10161623834240621</v>
      </c>
      <c r="B23">
        <v>0.8029829341746737</v>
      </c>
      <c r="N23">
        <v>0.10161623834240621</v>
      </c>
      <c r="O23">
        <v>0.8029829341746737</v>
      </c>
      <c r="P23">
        <v>3.3754400496997308E-2</v>
      </c>
      <c r="Q23">
        <v>0.83103398824035568</v>
      </c>
      <c r="S23" t="s">
        <v>90</v>
      </c>
      <c r="T23">
        <v>16.663405754496374</v>
      </c>
      <c r="U23">
        <v>5.1426245272686124</v>
      </c>
      <c r="V23">
        <v>3.2402532337601482</v>
      </c>
      <c r="W23">
        <v>1.6863656729165174E-3</v>
      </c>
      <c r="X23">
        <v>6.4435201528232628</v>
      </c>
      <c r="Y23">
        <v>26.883291356169487</v>
      </c>
      <c r="Z23">
        <v>6.4435201528232628</v>
      </c>
      <c r="AA23">
        <v>26.883291356169487</v>
      </c>
    </row>
    <row r="24" spans="1:27" ht="15" thickBot="1" x14ac:dyDescent="0.4">
      <c r="A24">
        <v>4.7864154948262141E-2</v>
      </c>
      <c r="B24">
        <v>0.82850535393806535</v>
      </c>
      <c r="N24">
        <v>4.7864154948262141E-2</v>
      </c>
      <c r="O24">
        <v>0.82850535393806535</v>
      </c>
      <c r="P24">
        <v>5.0206431836069647E-2</v>
      </c>
      <c r="Q24">
        <v>0.872300446864122</v>
      </c>
      <c r="S24" s="39" t="s">
        <v>91</v>
      </c>
      <c r="T24" s="39">
        <v>-18.671451072220215</v>
      </c>
      <c r="U24" s="39">
        <v>5.7060798725790933</v>
      </c>
      <c r="V24" s="39">
        <v>-3.2722028939599994</v>
      </c>
      <c r="W24" s="39">
        <v>1.5254186176667402E-3</v>
      </c>
      <c r="X24" s="39">
        <v>-30.011085770913795</v>
      </c>
      <c r="Y24" s="39">
        <v>-7.3318163735266371</v>
      </c>
      <c r="Z24" s="39">
        <v>-30.011085770913795</v>
      </c>
      <c r="AA24" s="39">
        <v>-7.3318163735266371</v>
      </c>
    </row>
    <row r="25" spans="1:27" x14ac:dyDescent="0.35">
      <c r="A25">
        <v>3.2287138161382671E-2</v>
      </c>
      <c r="B25">
        <v>0.7964355908909545</v>
      </c>
      <c r="N25">
        <v>3.2287138161382671E-2</v>
      </c>
      <c r="O25">
        <v>0.7964355908909545</v>
      </c>
      <c r="P25">
        <v>3.4365369454597575E-2</v>
      </c>
      <c r="Q25">
        <v>0.82477944110301615</v>
      </c>
    </row>
    <row r="26" spans="1:27" x14ac:dyDescent="0.35">
      <c r="A26">
        <v>6.0276266220175803E-2</v>
      </c>
      <c r="B26">
        <v>0.81819331272829443</v>
      </c>
      <c r="N26">
        <v>6.0276266220175803E-2</v>
      </c>
      <c r="O26">
        <v>0.81819331272829443</v>
      </c>
      <c r="P26">
        <v>4.2735745163464227E-2</v>
      </c>
      <c r="Q26">
        <v>0.85472042708626017</v>
      </c>
    </row>
    <row r="27" spans="1:27" x14ac:dyDescent="0.35">
      <c r="A27">
        <v>2.5711113009310668E-2</v>
      </c>
      <c r="B27">
        <v>0.86012131432923511</v>
      </c>
      <c r="N27">
        <v>2.5711113009310668E-2</v>
      </c>
      <c r="O27">
        <v>0.86012131432923511</v>
      </c>
      <c r="P27">
        <v>3.281897566869045E-2</v>
      </c>
      <c r="Q27">
        <v>0.88930747470351434</v>
      </c>
    </row>
    <row r="28" spans="1:27" x14ac:dyDescent="0.35">
      <c r="A28">
        <v>3.0757468830863326E-2</v>
      </c>
      <c r="B28">
        <v>0.85885458228469702</v>
      </c>
      <c r="N28">
        <v>3.0757468830863326E-2</v>
      </c>
      <c r="O28">
        <v>0.85885458228469702</v>
      </c>
      <c r="P28">
        <v>3.6868770306734952E-2</v>
      </c>
      <c r="Q28">
        <v>0.89173163096188079</v>
      </c>
    </row>
    <row r="29" spans="1:27" x14ac:dyDescent="0.35">
      <c r="A29">
        <v>2.6644915715062535E-2</v>
      </c>
      <c r="B29">
        <v>0.81889763779527558</v>
      </c>
      <c r="N29">
        <v>2.6644915715062535E-2</v>
      </c>
      <c r="O29">
        <v>0.81889763779527558</v>
      </c>
      <c r="P29">
        <v>2.8685790527018012E-2</v>
      </c>
      <c r="Q29">
        <v>0.84308211473565808</v>
      </c>
    </row>
    <row r="30" spans="1:27" x14ac:dyDescent="0.35">
      <c r="A30">
        <v>7.2445019404915913E-3</v>
      </c>
      <c r="B30">
        <v>0.8486558588138724</v>
      </c>
      <c r="N30">
        <v>7.2445019404915913E-3</v>
      </c>
      <c r="O30">
        <v>0.8486558588138724</v>
      </c>
      <c r="P30">
        <v>3.1158486587794305E-2</v>
      </c>
      <c r="Q30">
        <v>0.87594910732608244</v>
      </c>
    </row>
    <row r="31" spans="1:27" x14ac:dyDescent="0.35">
      <c r="A31">
        <v>2.8751623075496197E-2</v>
      </c>
      <c r="B31">
        <v>0.85035499726925179</v>
      </c>
      <c r="N31">
        <v>2.8751623075496197E-2</v>
      </c>
      <c r="O31">
        <v>0.85035499726925179</v>
      </c>
      <c r="P31">
        <v>4.2697089766361523E-2</v>
      </c>
      <c r="Q31">
        <v>0.88828205594999698</v>
      </c>
    </row>
    <row r="32" spans="1:27" x14ac:dyDescent="0.35">
      <c r="A32">
        <v>1.9633086578693275E-2</v>
      </c>
      <c r="B32">
        <v>0.84106045081967218</v>
      </c>
      <c r="N32">
        <v>1.9633086578693275E-2</v>
      </c>
      <c r="O32">
        <v>0.84106045081967218</v>
      </c>
      <c r="P32">
        <v>2.4074899687917966E-2</v>
      </c>
      <c r="Q32">
        <v>0.86180840163934425</v>
      </c>
    </row>
    <row r="33" spans="1:24" x14ac:dyDescent="0.35">
      <c r="A33">
        <v>0</v>
      </c>
      <c r="B33">
        <v>0.76976093043290972</v>
      </c>
      <c r="N33">
        <v>0</v>
      </c>
      <c r="O33">
        <v>0.76976093043290972</v>
      </c>
      <c r="P33">
        <v>7.5530263838592862E-2</v>
      </c>
      <c r="Q33">
        <v>0.83265130303682966</v>
      </c>
    </row>
    <row r="34" spans="1:24" x14ac:dyDescent="0.35">
      <c r="A34">
        <v>8.6229652441706994E-2</v>
      </c>
      <c r="B34">
        <v>0.7458081824279007</v>
      </c>
      <c r="N34">
        <v>8.6229652441706994E-2</v>
      </c>
      <c r="O34">
        <v>0.7458081824279007</v>
      </c>
      <c r="P34">
        <v>3.9723661485319514E-2</v>
      </c>
      <c r="Q34">
        <v>0.77665995975855129</v>
      </c>
    </row>
    <row r="35" spans="1:24" x14ac:dyDescent="0.35">
      <c r="A35">
        <v>3.6065573770491806E-2</v>
      </c>
      <c r="B35">
        <v>0.87724898432965759</v>
      </c>
      <c r="N35">
        <v>3.6065573770491806E-2</v>
      </c>
      <c r="O35">
        <v>0.87724898432965759</v>
      </c>
      <c r="P35">
        <v>2.420916720464816E-2</v>
      </c>
      <c r="Q35">
        <v>0.89901334881021477</v>
      </c>
    </row>
    <row r="36" spans="1:24" x14ac:dyDescent="0.35">
      <c r="A36">
        <v>4.8743566454738117E-2</v>
      </c>
      <c r="B36">
        <v>0.84430769230769231</v>
      </c>
      <c r="N36">
        <v>4.8743566454738117E-2</v>
      </c>
      <c r="O36">
        <v>0.84430769230769231</v>
      </c>
      <c r="P36">
        <v>4.0447604615922603E-2</v>
      </c>
      <c r="Q36">
        <v>0.87989743589743585</v>
      </c>
      <c r="S36" t="s">
        <v>357</v>
      </c>
    </row>
    <row r="37" spans="1:24" ht="15" thickBot="1" x14ac:dyDescent="0.4">
      <c r="A37">
        <v>5.667001003009027E-2</v>
      </c>
      <c r="B37">
        <v>0.7663461538461539</v>
      </c>
      <c r="N37">
        <v>5.667001003009027E-2</v>
      </c>
      <c r="O37">
        <v>0.7663461538461539</v>
      </c>
      <c r="P37">
        <v>3.8600723763570564E-2</v>
      </c>
      <c r="Q37">
        <v>0.79711538461538467</v>
      </c>
    </row>
    <row r="38" spans="1:24" x14ac:dyDescent="0.35">
      <c r="A38">
        <v>0.18</v>
      </c>
      <c r="B38">
        <v>0.77781969068276124</v>
      </c>
      <c r="N38">
        <v>0.18</v>
      </c>
      <c r="O38">
        <v>0.77781969068276124</v>
      </c>
      <c r="P38">
        <v>7.2007200720072009E-2</v>
      </c>
      <c r="Q38">
        <v>0.83817427385892118</v>
      </c>
      <c r="S38" s="41" t="s">
        <v>358</v>
      </c>
      <c r="T38" s="41"/>
    </row>
    <row r="39" spans="1:24" x14ac:dyDescent="0.35">
      <c r="A39">
        <v>0</v>
      </c>
      <c r="B39">
        <v>0.94013303769401335</v>
      </c>
      <c r="N39">
        <v>0</v>
      </c>
      <c r="O39">
        <v>0.94013303769401335</v>
      </c>
      <c r="P39">
        <v>7.0257611241217799E-3</v>
      </c>
      <c r="Q39">
        <v>0.94678492239467849</v>
      </c>
      <c r="S39" t="s">
        <v>359</v>
      </c>
      <c r="T39">
        <v>0.5953049961822231</v>
      </c>
    </row>
    <row r="40" spans="1:24" x14ac:dyDescent="0.35">
      <c r="A40">
        <v>1.1437908496732025E-2</v>
      </c>
      <c r="B40">
        <v>0.81860075408462507</v>
      </c>
      <c r="N40">
        <v>1.1437908496732025E-2</v>
      </c>
      <c r="O40">
        <v>0.81860075408462507</v>
      </c>
      <c r="P40">
        <v>6.1028351753964441E-2</v>
      </c>
      <c r="Q40">
        <v>0.87180561374109766</v>
      </c>
      <c r="S40" t="s">
        <v>360</v>
      </c>
      <c r="T40">
        <v>0.35438803847951672</v>
      </c>
    </row>
    <row r="41" spans="1:24" x14ac:dyDescent="0.35">
      <c r="A41">
        <v>0.14346504559270518</v>
      </c>
      <c r="B41">
        <v>0.73654720372132365</v>
      </c>
      <c r="N41">
        <v>0.14346504559270518</v>
      </c>
      <c r="O41">
        <v>0.73654720372132365</v>
      </c>
      <c r="P41">
        <v>3.7441282122133185E-2</v>
      </c>
      <c r="Q41">
        <v>0.76519716671952642</v>
      </c>
      <c r="S41" t="s">
        <v>361</v>
      </c>
      <c r="T41">
        <v>0.33987990451276429</v>
      </c>
    </row>
    <row r="42" spans="1:24" x14ac:dyDescent="0.35">
      <c r="A42">
        <v>9.9772209567198178E-2</v>
      </c>
      <c r="B42">
        <v>0.81213202497769843</v>
      </c>
      <c r="N42">
        <v>9.9772209567198178E-2</v>
      </c>
      <c r="O42">
        <v>0.81213202497769843</v>
      </c>
      <c r="P42">
        <v>1.7907227615965481E-2</v>
      </c>
      <c r="Q42">
        <v>0.8269402319357716</v>
      </c>
      <c r="S42" t="s">
        <v>362</v>
      </c>
      <c r="T42">
        <v>4.8448499378447953E-2</v>
      </c>
    </row>
    <row r="43" spans="1:24" ht="15" thickBot="1" x14ac:dyDescent="0.4">
      <c r="A43">
        <v>8.7605633802816898E-2</v>
      </c>
      <c r="B43">
        <v>0.83866481223922118</v>
      </c>
      <c r="N43">
        <v>8.7605633802816898E-2</v>
      </c>
      <c r="O43">
        <v>0.83866481223922118</v>
      </c>
      <c r="P43">
        <v>2.8672680412371133E-2</v>
      </c>
      <c r="Q43">
        <v>0.86342141863699584</v>
      </c>
      <c r="S43" s="39" t="s">
        <v>349</v>
      </c>
      <c r="T43" s="39">
        <v>92</v>
      </c>
    </row>
    <row r="44" spans="1:24" x14ac:dyDescent="0.35">
      <c r="A44">
        <v>0.10091027308192457</v>
      </c>
      <c r="B44">
        <v>0.78036881646989953</v>
      </c>
      <c r="N44">
        <v>0.10091027308192457</v>
      </c>
      <c r="O44">
        <v>0.78036881646989953</v>
      </c>
      <c r="P44">
        <v>4.6381304399666153E-2</v>
      </c>
      <c r="Q44">
        <v>0.81832373890135623</v>
      </c>
    </row>
    <row r="45" spans="1:24" ht="15" thickBot="1" x14ac:dyDescent="0.4">
      <c r="A45">
        <v>7.2210526315789475E-2</v>
      </c>
      <c r="B45">
        <v>0.83398656215005595</v>
      </c>
      <c r="N45">
        <v>7.2210526315789475E-2</v>
      </c>
      <c r="O45">
        <v>0.83398656215005595</v>
      </c>
      <c r="P45">
        <v>1.7399191885874497E-2</v>
      </c>
      <c r="Q45">
        <v>0.84875419932810747</v>
      </c>
      <c r="S45" t="s">
        <v>363</v>
      </c>
    </row>
    <row r="46" spans="1:24" x14ac:dyDescent="0.35">
      <c r="A46">
        <v>2.6570915619389589E-2</v>
      </c>
      <c r="B46">
        <v>0.82729278285534191</v>
      </c>
      <c r="N46">
        <v>2.6570915619389589E-2</v>
      </c>
      <c r="O46">
        <v>0.82729278285534191</v>
      </c>
      <c r="P46">
        <v>2.6696329254727477E-2</v>
      </c>
      <c r="Q46">
        <v>0.84998424204223133</v>
      </c>
      <c r="S46" s="40"/>
      <c r="T46" s="40" t="s">
        <v>351</v>
      </c>
      <c r="U46" s="40" t="s">
        <v>368</v>
      </c>
      <c r="V46" s="40" t="s">
        <v>369</v>
      </c>
      <c r="W46" s="40" t="s">
        <v>370</v>
      </c>
      <c r="X46" s="40" t="s">
        <v>371</v>
      </c>
    </row>
    <row r="47" spans="1:24" x14ac:dyDescent="0.35">
      <c r="A47">
        <v>0.10302708443972385</v>
      </c>
      <c r="B47">
        <v>0.84198991891299579</v>
      </c>
      <c r="N47">
        <v>0.10302708443972385</v>
      </c>
      <c r="O47">
        <v>0.84198991891299579</v>
      </c>
      <c r="P47">
        <v>3.2241813602015112E-2</v>
      </c>
      <c r="Q47">
        <v>0.87004163927240852</v>
      </c>
      <c r="S47" t="s">
        <v>364</v>
      </c>
      <c r="T47">
        <v>2</v>
      </c>
      <c r="U47">
        <v>0.11467220230466835</v>
      </c>
      <c r="V47">
        <v>5.7336101152334173E-2</v>
      </c>
      <c r="W47">
        <v>24.426851812345415</v>
      </c>
      <c r="X47">
        <v>3.4973152557435032E-9</v>
      </c>
    </row>
    <row r="48" spans="1:24" x14ac:dyDescent="0.35">
      <c r="A48">
        <v>8.3545918367346941E-2</v>
      </c>
      <c r="B48">
        <v>0.75895938412529862</v>
      </c>
      <c r="N48">
        <v>8.3545918367346941E-2</v>
      </c>
      <c r="O48">
        <v>0.75895938412529862</v>
      </c>
      <c r="P48">
        <v>3.3141697666553942E-2</v>
      </c>
      <c r="Q48">
        <v>0.78497478099283247</v>
      </c>
      <c r="S48" t="s">
        <v>365</v>
      </c>
      <c r="T48">
        <v>89</v>
      </c>
      <c r="U48">
        <v>0.20890588119008902</v>
      </c>
      <c r="V48">
        <v>2.3472570920234719E-3</v>
      </c>
    </row>
    <row r="49" spans="1:27" ht="15" thickBot="1" x14ac:dyDescent="0.4">
      <c r="A49">
        <v>0.172782874617737</v>
      </c>
      <c r="B49">
        <v>0.79259513198491605</v>
      </c>
      <c r="N49">
        <v>0.172782874617737</v>
      </c>
      <c r="O49">
        <v>0.79259513198491605</v>
      </c>
      <c r="P49">
        <v>7.7414205905826011E-2</v>
      </c>
      <c r="Q49">
        <v>0.85910181693520737</v>
      </c>
      <c r="S49" s="39" t="s">
        <v>366</v>
      </c>
      <c r="T49" s="39">
        <v>91</v>
      </c>
      <c r="U49" s="39">
        <v>0.32357808349475736</v>
      </c>
      <c r="V49" s="39"/>
      <c r="W49" s="39"/>
      <c r="X49" s="39"/>
    </row>
    <row r="50" spans="1:27" ht="15" thickBot="1" x14ac:dyDescent="0.4">
      <c r="A50">
        <v>4.1499713795077275E-2</v>
      </c>
      <c r="B50">
        <v>0.82733345155760474</v>
      </c>
      <c r="N50">
        <v>4.1499713795077275E-2</v>
      </c>
      <c r="O50">
        <v>0.82733345155760474</v>
      </c>
      <c r="P50">
        <v>4.0712816997943796E-2</v>
      </c>
      <c r="Q50">
        <v>0.86244606017615422</v>
      </c>
    </row>
    <row r="51" spans="1:27" x14ac:dyDescent="0.35">
      <c r="A51">
        <v>0.10309278350515463</v>
      </c>
      <c r="B51">
        <v>0.80955188679245282</v>
      </c>
      <c r="N51">
        <v>0.10309278350515463</v>
      </c>
      <c r="O51">
        <v>0.80955188679245282</v>
      </c>
      <c r="P51">
        <v>5.9830522982110758E-2</v>
      </c>
      <c r="Q51">
        <v>0.86107016509433965</v>
      </c>
      <c r="S51" s="40"/>
      <c r="T51" s="40" t="s">
        <v>372</v>
      </c>
      <c r="U51" s="40" t="s">
        <v>362</v>
      </c>
      <c r="V51" s="40" t="s">
        <v>352</v>
      </c>
      <c r="W51" s="40" t="s">
        <v>373</v>
      </c>
      <c r="X51" s="40" t="s">
        <v>374</v>
      </c>
      <c r="Y51" s="40" t="s">
        <v>375</v>
      </c>
      <c r="Z51" s="40" t="s">
        <v>376</v>
      </c>
      <c r="AA51" s="40" t="s">
        <v>377</v>
      </c>
    </row>
    <row r="52" spans="1:27" x14ac:dyDescent="0.35">
      <c r="A52">
        <v>4.9318364073777064E-2</v>
      </c>
      <c r="B52">
        <v>0.86608674344523406</v>
      </c>
      <c r="N52">
        <v>4.9318364073777064E-2</v>
      </c>
      <c r="O52">
        <v>0.86608674344523406</v>
      </c>
      <c r="P52">
        <v>5.3216661458100806E-2</v>
      </c>
      <c r="Q52">
        <v>0.91476762231479214</v>
      </c>
      <c r="S52" t="s">
        <v>367</v>
      </c>
      <c r="T52">
        <v>0.62981384404547758</v>
      </c>
      <c r="U52">
        <v>9.1663841334187146E-2</v>
      </c>
      <c r="V52">
        <v>6.8709082543170794</v>
      </c>
      <c r="W52">
        <v>8.3786753748839193E-10</v>
      </c>
      <c r="X52">
        <v>0.44767974379952391</v>
      </c>
      <c r="Y52">
        <v>0.81194794429143125</v>
      </c>
      <c r="Z52">
        <v>0.44767974379952391</v>
      </c>
      <c r="AA52">
        <v>0.81194794429143125</v>
      </c>
    </row>
    <row r="53" spans="1:27" x14ac:dyDescent="0.35">
      <c r="A53">
        <v>1.8240343347639486E-2</v>
      </c>
      <c r="B53">
        <v>0.85658713692946054</v>
      </c>
      <c r="N53">
        <v>1.8240343347639486E-2</v>
      </c>
      <c r="O53">
        <v>0.85658713692946054</v>
      </c>
      <c r="P53">
        <v>4.4270833333333336E-2</v>
      </c>
      <c r="Q53">
        <v>0.89626556016597514</v>
      </c>
      <c r="S53" t="s">
        <v>90</v>
      </c>
      <c r="T53">
        <v>0.46733029019072253</v>
      </c>
      <c r="U53">
        <v>0.24470878374206187</v>
      </c>
      <c r="V53">
        <v>1.9097405620033543</v>
      </c>
      <c r="W53">
        <v>5.9387560819213363E-2</v>
      </c>
      <c r="X53">
        <v>-1.8900850686844328E-2</v>
      </c>
      <c r="Y53">
        <v>0.95356143106828939</v>
      </c>
      <c r="Z53">
        <v>-1.8900850686844328E-2</v>
      </c>
      <c r="AA53">
        <v>0.95356143106828939</v>
      </c>
    </row>
    <row r="54" spans="1:27" ht="15" thickBot="1" x14ac:dyDescent="0.4">
      <c r="A54">
        <v>4.9180327868852463E-3</v>
      </c>
      <c r="B54">
        <v>0.78242247729998282</v>
      </c>
      <c r="N54">
        <v>4.9180327868852463E-3</v>
      </c>
      <c r="O54">
        <v>0.78242247729998282</v>
      </c>
      <c r="P54">
        <v>2.9124149659863947E-2</v>
      </c>
      <c r="Q54">
        <v>0.80589343841014216</v>
      </c>
      <c r="S54" s="39" t="s">
        <v>91</v>
      </c>
      <c r="T54" s="39">
        <v>-0.68508641103682111</v>
      </c>
      <c r="U54" s="39">
        <v>0.1048934864186748</v>
      </c>
      <c r="V54" s="39">
        <v>-6.5312578924333593</v>
      </c>
      <c r="W54" s="39">
        <v>3.9250779691356907E-9</v>
      </c>
      <c r="X54" s="39">
        <v>-0.8935075342676797</v>
      </c>
      <c r="Y54" s="39">
        <v>-0.47666528780596251</v>
      </c>
      <c r="Z54" s="39">
        <v>-0.8935075342676797</v>
      </c>
      <c r="AA54" s="39">
        <v>-0.47666528780596251</v>
      </c>
    </row>
    <row r="55" spans="1:27" x14ac:dyDescent="0.35">
      <c r="A55">
        <v>0</v>
      </c>
      <c r="B55">
        <v>0.73961806608063052</v>
      </c>
      <c r="N55">
        <v>0</v>
      </c>
      <c r="O55">
        <v>0.73961806608063052</v>
      </c>
      <c r="P55">
        <v>0.15307185005206525</v>
      </c>
      <c r="Q55">
        <v>0.8732949378599576</v>
      </c>
    </row>
    <row r="56" spans="1:27" x14ac:dyDescent="0.35">
      <c r="A56">
        <v>3.9353769676884837E-2</v>
      </c>
      <c r="B56">
        <v>0.82464391292663264</v>
      </c>
      <c r="N56">
        <v>3.9353769676884837E-2</v>
      </c>
      <c r="O56">
        <v>0.82464391292663264</v>
      </c>
      <c r="P56">
        <v>5.9895833333333336E-2</v>
      </c>
      <c r="Q56">
        <v>0.87718355280838489</v>
      </c>
    </row>
    <row r="57" spans="1:27" x14ac:dyDescent="0.35">
      <c r="A57">
        <v>0.14924181963288108</v>
      </c>
      <c r="B57">
        <v>0.67331923890063428</v>
      </c>
      <c r="N57">
        <v>0.14924181963288108</v>
      </c>
      <c r="O57">
        <v>0.67331923890063428</v>
      </c>
      <c r="P57">
        <v>4.4407105136821889E-2</v>
      </c>
      <c r="Q57">
        <v>0.70460887949260043</v>
      </c>
    </row>
    <row r="58" spans="1:27" x14ac:dyDescent="0.35">
      <c r="A58">
        <v>1.7498713329902212E-2</v>
      </c>
      <c r="B58">
        <v>0.79877754543992274</v>
      </c>
      <c r="N58">
        <v>1.7498713329902212E-2</v>
      </c>
      <c r="O58">
        <v>0.79877754543992274</v>
      </c>
      <c r="P58">
        <v>2.8750244474867983E-2</v>
      </c>
      <c r="Q58">
        <v>0.82242239022036356</v>
      </c>
    </row>
    <row r="59" spans="1:27" x14ac:dyDescent="0.35">
      <c r="A59">
        <v>2.0033741037536905E-2</v>
      </c>
      <c r="B59">
        <v>0.84351109883024777</v>
      </c>
      <c r="N59">
        <v>2.0033741037536905E-2</v>
      </c>
      <c r="O59">
        <v>0.84351109883024777</v>
      </c>
      <c r="P59">
        <v>2.9667302394575122E-2</v>
      </c>
      <c r="Q59">
        <v>0.8693009118541033</v>
      </c>
    </row>
    <row r="60" spans="1:27" x14ac:dyDescent="0.35">
      <c r="A60">
        <v>2.5090789039286892E-2</v>
      </c>
      <c r="B60">
        <v>0.77337533156498672</v>
      </c>
      <c r="N60">
        <v>2.5090789039286892E-2</v>
      </c>
      <c r="O60">
        <v>0.77337533156498672</v>
      </c>
      <c r="P60">
        <v>4.0320921621065625E-2</v>
      </c>
      <c r="Q60">
        <v>0.80586870026525204</v>
      </c>
    </row>
    <row r="61" spans="1:27" x14ac:dyDescent="0.35">
      <c r="A61">
        <v>0.12692793931731985</v>
      </c>
      <c r="B61">
        <v>0.77722251446607049</v>
      </c>
      <c r="N61">
        <v>0.12692793931731985</v>
      </c>
      <c r="O61">
        <v>0.77722251446607049</v>
      </c>
      <c r="P61">
        <v>4.9125817869784406E-2</v>
      </c>
      <c r="Q61">
        <v>0.81737681921795546</v>
      </c>
    </row>
    <row r="62" spans="1:27" x14ac:dyDescent="0.35">
      <c r="A62">
        <v>3.2149923623427619E-2</v>
      </c>
      <c r="B62">
        <v>0.82916539881817741</v>
      </c>
      <c r="N62">
        <v>3.2149923623427619E-2</v>
      </c>
      <c r="O62">
        <v>0.82916539881817741</v>
      </c>
      <c r="P62">
        <v>3.5158196585156884E-2</v>
      </c>
      <c r="Q62">
        <v>0.85937963703845621</v>
      </c>
    </row>
    <row r="63" spans="1:27" x14ac:dyDescent="0.35">
      <c r="A63">
        <v>5.0529747351263241E-2</v>
      </c>
      <c r="B63">
        <v>0.82648125755743651</v>
      </c>
      <c r="N63">
        <v>5.0529747351263241E-2</v>
      </c>
      <c r="O63">
        <v>0.82648125755743651</v>
      </c>
      <c r="P63">
        <v>4.2214047994394814E-2</v>
      </c>
      <c r="Q63">
        <v>0.86290810157194675</v>
      </c>
    </row>
    <row r="64" spans="1:27" x14ac:dyDescent="0.35">
      <c r="A64">
        <v>0</v>
      </c>
      <c r="B64">
        <v>0.85257189145403001</v>
      </c>
      <c r="N64">
        <v>0</v>
      </c>
      <c r="O64">
        <v>0.85257189145403001</v>
      </c>
      <c r="P64">
        <v>3.4403669724770644E-2</v>
      </c>
      <c r="Q64">
        <v>0.88294856217091944</v>
      </c>
    </row>
    <row r="65" spans="1:17" x14ac:dyDescent="0.35">
      <c r="A65">
        <v>3.9010466222645097E-2</v>
      </c>
      <c r="B65">
        <v>0.83561643835616439</v>
      </c>
      <c r="N65">
        <v>3.9010466222645097E-2</v>
      </c>
      <c r="O65">
        <v>0.83561643835616439</v>
      </c>
      <c r="P65">
        <v>1.6515926071569011E-2</v>
      </c>
      <c r="Q65">
        <v>0.84964918142332113</v>
      </c>
    </row>
    <row r="66" spans="1:17" x14ac:dyDescent="0.35">
      <c r="A66">
        <v>2.9504741833508957E-2</v>
      </c>
      <c r="B66">
        <v>0.83886010362694297</v>
      </c>
      <c r="N66">
        <v>2.9504741833508957E-2</v>
      </c>
      <c r="O66">
        <v>0.83886010362694297</v>
      </c>
      <c r="P66">
        <v>1.0995723885155772E-2</v>
      </c>
      <c r="Q66">
        <v>0.84818652849740928</v>
      </c>
    </row>
    <row r="67" spans="1:17" x14ac:dyDescent="0.35">
      <c r="A67">
        <v>3.5639412997903561E-2</v>
      </c>
      <c r="B67">
        <v>0.84963589844518794</v>
      </c>
      <c r="N67">
        <v>3.5639412997903561E-2</v>
      </c>
      <c r="O67">
        <v>0.84963589844518794</v>
      </c>
      <c r="P67">
        <v>6.0909288666521642E-2</v>
      </c>
      <c r="Q67">
        <v>0.90474316079511907</v>
      </c>
    </row>
    <row r="68" spans="1:17" x14ac:dyDescent="0.35">
      <c r="A68">
        <v>0.12081952395299789</v>
      </c>
      <c r="B68">
        <v>0.80033571128829206</v>
      </c>
      <c r="N68">
        <v>0.12081952395299789</v>
      </c>
      <c r="O68">
        <v>0.80033571128829206</v>
      </c>
      <c r="P68">
        <v>5.6588840522358526E-2</v>
      </c>
      <c r="Q68">
        <v>0.84834242551405792</v>
      </c>
    </row>
    <row r="69" spans="1:17" x14ac:dyDescent="0.35">
      <c r="A69">
        <v>0.11344019728729964</v>
      </c>
      <c r="B69">
        <v>0.85185887708649466</v>
      </c>
      <c r="N69">
        <v>0.11344019728729964</v>
      </c>
      <c r="O69">
        <v>0.85185887708649466</v>
      </c>
      <c r="P69">
        <v>2.4543874891398785E-2</v>
      </c>
      <c r="Q69">
        <v>0.87329286798179062</v>
      </c>
    </row>
    <row r="70" spans="1:17" x14ac:dyDescent="0.35">
      <c r="A70">
        <v>0.15448968209704406</v>
      </c>
      <c r="B70">
        <v>0.81712415924377391</v>
      </c>
      <c r="N70">
        <v>0.15448968209704406</v>
      </c>
      <c r="O70">
        <v>0.81712415924377391</v>
      </c>
      <c r="P70">
        <v>1.5549715286903198E-2</v>
      </c>
      <c r="Q70">
        <v>0.83003090347209596</v>
      </c>
    </row>
    <row r="71" spans="1:17" x14ac:dyDescent="0.35">
      <c r="A71">
        <v>1.2345679012345678E-2</v>
      </c>
      <c r="B71">
        <v>0.77868338557993733</v>
      </c>
      <c r="N71">
        <v>1.2345679012345678E-2</v>
      </c>
      <c r="O71">
        <v>0.77868338557993733</v>
      </c>
      <c r="P71">
        <v>0.1038961038961039</v>
      </c>
      <c r="Q71">
        <v>0.86896551724137927</v>
      </c>
    </row>
    <row r="72" spans="1:17" x14ac:dyDescent="0.35">
      <c r="A72">
        <v>0.12533692722371967</v>
      </c>
      <c r="B72">
        <v>0.78310502283105021</v>
      </c>
      <c r="N72">
        <v>0.12533692722371967</v>
      </c>
      <c r="O72">
        <v>0.78310502283105021</v>
      </c>
      <c r="P72">
        <v>7.2972972972972977E-2</v>
      </c>
      <c r="Q72">
        <v>0.84474885844748859</v>
      </c>
    </row>
    <row r="73" spans="1:17" x14ac:dyDescent="0.35">
      <c r="A73">
        <v>0.12438139227977565</v>
      </c>
      <c r="B73">
        <v>0.76163043478260872</v>
      </c>
      <c r="N73">
        <v>0.12438139227977565</v>
      </c>
      <c r="O73">
        <v>0.76163043478260872</v>
      </c>
      <c r="P73">
        <v>3.1379596350566766E-2</v>
      </c>
      <c r="Q73">
        <v>0.78630434782608694</v>
      </c>
    </row>
    <row r="74" spans="1:17" x14ac:dyDescent="0.35">
      <c r="A74">
        <v>1.2508229098090849E-2</v>
      </c>
      <c r="B74">
        <v>0.90710253998118529</v>
      </c>
      <c r="N74">
        <v>1.2508229098090849E-2</v>
      </c>
      <c r="O74">
        <v>0.90710253998118529</v>
      </c>
      <c r="P74">
        <v>2.4285352896534277E-2</v>
      </c>
      <c r="Q74">
        <v>0.9296801505174036</v>
      </c>
    </row>
    <row r="75" spans="1:17" x14ac:dyDescent="0.35">
      <c r="A75">
        <v>0.18</v>
      </c>
      <c r="B75">
        <v>0.77781969068276124</v>
      </c>
      <c r="N75">
        <v>0.18</v>
      </c>
      <c r="O75">
        <v>0.77781969068276124</v>
      </c>
      <c r="P75">
        <v>7.2007200720072009E-2</v>
      </c>
      <c r="Q75">
        <v>0.83817427385892118</v>
      </c>
    </row>
    <row r="76" spans="1:17" x14ac:dyDescent="0.35">
      <c r="A76">
        <v>1.1885895404120444E-2</v>
      </c>
      <c r="B76">
        <v>0.84825556956704495</v>
      </c>
      <c r="N76">
        <v>1.1885895404120444E-2</v>
      </c>
      <c r="O76">
        <v>0.84825556956704495</v>
      </c>
      <c r="P76">
        <v>4.1178333861260692E-2</v>
      </c>
      <c r="Q76">
        <v>0.88468544206249122</v>
      </c>
    </row>
    <row r="77" spans="1:17" x14ac:dyDescent="0.35">
      <c r="A77">
        <v>6.1383928571428568E-2</v>
      </c>
      <c r="B77">
        <v>0.83929051330287552</v>
      </c>
      <c r="N77">
        <v>6.1383928571428568E-2</v>
      </c>
      <c r="O77">
        <v>0.83929051330287552</v>
      </c>
      <c r="P77">
        <v>4.5829514207149404E-2</v>
      </c>
      <c r="Q77">
        <v>0.87960225745767262</v>
      </c>
    </row>
    <row r="78" spans="1:17" x14ac:dyDescent="0.35">
      <c r="A78">
        <v>0</v>
      </c>
      <c r="B78">
        <v>0.89457831325301207</v>
      </c>
      <c r="N78">
        <v>0</v>
      </c>
      <c r="O78">
        <v>0.89457831325301207</v>
      </c>
      <c r="P78">
        <v>2.5067144136078783E-2</v>
      </c>
      <c r="Q78">
        <v>0.91757940854326392</v>
      </c>
    </row>
    <row r="79" spans="1:17" x14ac:dyDescent="0.35">
      <c r="A79">
        <v>1.7164179104477612E-2</v>
      </c>
      <c r="B79">
        <v>0.8594174054640854</v>
      </c>
      <c r="N79">
        <v>1.7164179104477612E-2</v>
      </c>
      <c r="O79">
        <v>0.8594174054640854</v>
      </c>
      <c r="P79">
        <v>2.8828460437538336E-2</v>
      </c>
      <c r="Q79">
        <v>0.88492853265786142</v>
      </c>
    </row>
    <row r="80" spans="1:17" x14ac:dyDescent="0.35">
      <c r="A80">
        <v>0.16017009213323885</v>
      </c>
      <c r="B80">
        <v>0.69595645412130636</v>
      </c>
      <c r="N80">
        <v>0.16017009213323885</v>
      </c>
      <c r="O80">
        <v>0.69595645412130636</v>
      </c>
      <c r="P80">
        <v>8.673469387755102E-2</v>
      </c>
      <c r="Q80">
        <v>0.76205287713841363</v>
      </c>
    </row>
    <row r="81" spans="1:17" x14ac:dyDescent="0.35">
      <c r="A81">
        <v>3.8552787663107949E-2</v>
      </c>
      <c r="B81">
        <v>0.87070399113082042</v>
      </c>
      <c r="N81">
        <v>3.8552787663107949E-2</v>
      </c>
      <c r="O81">
        <v>0.87070399113082042</v>
      </c>
      <c r="P81">
        <v>3.0251582034264549E-2</v>
      </c>
      <c r="Q81">
        <v>0.89786585365853655</v>
      </c>
    </row>
    <row r="82" spans="1:17" x14ac:dyDescent="0.35">
      <c r="A82">
        <v>0</v>
      </c>
      <c r="B82">
        <v>0.85097813578826242</v>
      </c>
      <c r="N82">
        <v>0</v>
      </c>
      <c r="O82">
        <v>0.85097813578826242</v>
      </c>
      <c r="P82">
        <v>4.4882144010332581E-2</v>
      </c>
      <c r="Q82">
        <v>0.89096662830840045</v>
      </c>
    </row>
    <row r="83" spans="1:17" x14ac:dyDescent="0.35">
      <c r="A83">
        <v>6.5972222222222224E-2</v>
      </c>
      <c r="B83">
        <v>0.85987482614742694</v>
      </c>
      <c r="N83">
        <v>6.5972222222222224E-2</v>
      </c>
      <c r="O83">
        <v>0.85987482614742694</v>
      </c>
      <c r="P83">
        <v>4.627844195912071E-2</v>
      </c>
      <c r="Q83">
        <v>0.90159944367176637</v>
      </c>
    </row>
    <row r="84" spans="1:17" x14ac:dyDescent="0.35">
      <c r="A84">
        <v>0.20446818844099077</v>
      </c>
      <c r="B84">
        <v>0.7672323171647395</v>
      </c>
      <c r="N84">
        <v>0.20446818844099077</v>
      </c>
      <c r="O84">
        <v>0.7672323171647395</v>
      </c>
      <c r="P84">
        <v>4.647256438969765E-2</v>
      </c>
      <c r="Q84">
        <v>0.80462531911698454</v>
      </c>
    </row>
    <row r="85" spans="1:17" x14ac:dyDescent="0.35">
      <c r="A85">
        <v>5.3264604810996562E-2</v>
      </c>
      <c r="B85">
        <v>0.89943342776203961</v>
      </c>
      <c r="N85">
        <v>5.3264604810996562E-2</v>
      </c>
      <c r="O85">
        <v>0.89943342776203961</v>
      </c>
      <c r="P85">
        <v>3.2667569397427217E-2</v>
      </c>
      <c r="Q85">
        <v>0.92980799496380229</v>
      </c>
    </row>
    <row r="86" spans="1:17" x14ac:dyDescent="0.35">
      <c r="A86">
        <v>3.4727919059338253E-2</v>
      </c>
      <c r="B86">
        <v>0.88442358462892345</v>
      </c>
      <c r="N86">
        <v>3.4727919059338253E-2</v>
      </c>
      <c r="O86">
        <v>0.88442358462892345</v>
      </c>
      <c r="P86">
        <v>4.2553191489361701E-2</v>
      </c>
      <c r="Q86">
        <v>0.92373129950132005</v>
      </c>
    </row>
    <row r="87" spans="1:17" x14ac:dyDescent="0.35">
      <c r="A87">
        <v>0.11149425287356322</v>
      </c>
      <c r="B87">
        <v>0.85023369233895552</v>
      </c>
      <c r="N87">
        <v>0.11149425287356322</v>
      </c>
      <c r="O87">
        <v>0.85023369233895552</v>
      </c>
      <c r="P87">
        <v>2.923433874709977E-2</v>
      </c>
      <c r="Q87">
        <v>0.87583824425929691</v>
      </c>
    </row>
    <row r="88" spans="1:17" x14ac:dyDescent="0.35">
      <c r="A88">
        <v>4.541895066562255E-2</v>
      </c>
      <c r="B88">
        <v>0.86366181410974241</v>
      </c>
      <c r="N88">
        <v>4.541895066562255E-2</v>
      </c>
      <c r="O88">
        <v>0.86366181410974241</v>
      </c>
      <c r="P88">
        <v>4.6367851622874809E-2</v>
      </c>
      <c r="Q88">
        <v>0.90565509518477039</v>
      </c>
    </row>
    <row r="89" spans="1:17" x14ac:dyDescent="0.35">
      <c r="A89">
        <v>0.18612922347362182</v>
      </c>
      <c r="B89">
        <v>0.64299964792864683</v>
      </c>
      <c r="N89">
        <v>0.18612922347362182</v>
      </c>
      <c r="O89">
        <v>0.64299964792864683</v>
      </c>
      <c r="P89">
        <v>3.7590022835060598E-2</v>
      </c>
      <c r="Q89">
        <v>0.66811407111841337</v>
      </c>
    </row>
    <row r="90" spans="1:17" x14ac:dyDescent="0.35">
      <c r="A90">
        <v>6.4859117490696436E-2</v>
      </c>
      <c r="B90">
        <v>0.8803983703033047</v>
      </c>
      <c r="N90">
        <v>6.4859117490696436E-2</v>
      </c>
      <c r="O90">
        <v>0.8803983703033047</v>
      </c>
      <c r="P90">
        <v>4.9555273189326558E-2</v>
      </c>
      <c r="Q90">
        <v>0.92630149388863736</v>
      </c>
    </row>
    <row r="91" spans="1:17" x14ac:dyDescent="0.35">
      <c r="A91">
        <v>7.084927314460597E-2</v>
      </c>
      <c r="B91">
        <v>0.81134898710865566</v>
      </c>
      <c r="N91">
        <v>7.084927314460597E-2</v>
      </c>
      <c r="O91">
        <v>0.81134898710865566</v>
      </c>
      <c r="P91">
        <v>4.1506611823095486E-2</v>
      </c>
      <c r="Q91">
        <v>0.84648365561694294</v>
      </c>
    </row>
    <row r="92" spans="1:17" x14ac:dyDescent="0.35">
      <c r="A92">
        <v>6.5295815295815296E-2</v>
      </c>
      <c r="B92">
        <v>0.84800636420616171</v>
      </c>
      <c r="N92">
        <v>6.5295815295815296E-2</v>
      </c>
      <c r="O92">
        <v>0.84800636420616171</v>
      </c>
      <c r="P92">
        <v>5.488984416980118E-2</v>
      </c>
      <c r="Q92">
        <v>0.89725664143483919</v>
      </c>
    </row>
    <row r="93" spans="1:17" x14ac:dyDescent="0.35">
      <c r="A93">
        <v>0</v>
      </c>
      <c r="B93">
        <v>0.92802056555269918</v>
      </c>
      <c r="N93">
        <v>0</v>
      </c>
      <c r="O93">
        <v>0.92802056555269918</v>
      </c>
      <c r="P93">
        <v>0</v>
      </c>
      <c r="Q93">
        <v>0.92802056555269918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Source</vt:lpstr>
      <vt:lpstr>Data Dictionary</vt:lpstr>
      <vt:lpstr>Cleaned_data</vt:lpstr>
      <vt:lpstr>Cleaned_Data_new</vt:lpstr>
      <vt:lpstr>Pivot 1</vt:lpstr>
      <vt:lpstr>Pivot 2</vt:lpstr>
      <vt:lpstr>Pivot 3</vt:lpstr>
      <vt:lpstr>1.Bar Chart</vt:lpstr>
      <vt:lpstr>2.Tree Map</vt:lpstr>
      <vt:lpstr>3.Column Chart(Stacked)</vt:lpstr>
      <vt:lpstr>4.Box and Whiskers-1 </vt:lpstr>
      <vt:lpstr>5.Box and Whiskers-2</vt:lpstr>
      <vt:lpstr>6.Bubble chart</vt:lpstr>
      <vt:lpstr>7.Line Chart</vt:lpstr>
      <vt:lpstr>8.Clusterd Bar Chart</vt:lpstr>
      <vt:lpstr>9.Clusterd Column Chart</vt:lpstr>
      <vt:lpstr>10.Histogram</vt:lpstr>
      <vt:lpstr>Correlation &amp; Scatter Plot</vt:lpstr>
      <vt:lpstr>Testing-1</vt:lpstr>
      <vt:lpstr>Testing - 2</vt:lpstr>
      <vt:lpstr>Testing - 3</vt:lpstr>
      <vt:lpstr>Regression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 Sai Sugandham</dc:creator>
  <cp:keywords/>
  <dc:description/>
  <cp:lastModifiedBy>Rohit Akhil Gonthina</cp:lastModifiedBy>
  <cp:revision/>
  <dcterms:created xsi:type="dcterms:W3CDTF">2025-03-30T03:43:04Z</dcterms:created>
  <dcterms:modified xsi:type="dcterms:W3CDTF">2025-09-28T20:08:21Z</dcterms:modified>
  <cp:category/>
  <cp:contentStatus/>
</cp:coreProperties>
</file>